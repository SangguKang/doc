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1EF8CD5D-F207-4512-876B-FE74D959E33A}" xr6:coauthVersionLast="47" xr6:coauthVersionMax="47" xr10:uidLastSave="{00000000-0000-0000-0000-000000000000}"/>
  <bookViews>
    <workbookView xWindow="28680" yWindow="-120" windowWidth="29040" windowHeight="15840" tabRatio="733" activeTab="7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25" sheetId="28" r:id="rId7"/>
    <sheet name="LIB_26" sheetId="29" r:id="rId8"/>
    <sheet name="ENG" sheetId="25" r:id="rId9"/>
    <sheet name="Retry" sheetId="12" r:id="rId10"/>
    <sheet name="LIB_Complete" sheetId="13" r:id="rId11"/>
    <sheet name="BookOlim" sheetId="17" r:id="rId12"/>
    <sheet name="EBSLang" sheetId="18" r:id="rId13"/>
    <sheet name="Eng.Reading" sheetId="20" r:id="rId14"/>
    <sheet name="키출판" sheetId="23" r:id="rId15"/>
    <sheet name="황보름" sheetId="21" r:id="rId16"/>
    <sheet name="Hope" sheetId="2" r:id="rId17"/>
    <sheet name="아이뉴턴" sheetId="6" r:id="rId18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6" hidden="1">'25'!$B$2:$P$221</definedName>
    <definedName name="_xlnm._FilterDatabase" localSheetId="11" hidden="1">BookOlim!$B$2:$H$380</definedName>
    <definedName name="_xlnm._FilterDatabase" localSheetId="8" hidden="1">ENG!$B$2:$M$96</definedName>
    <definedName name="_xlnm._FilterDatabase" localSheetId="7" hidden="1">LIB_26!$B$2:$P$147</definedName>
    <definedName name="_xlnm._FilterDatabase" localSheetId="9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9" i="29" l="1"/>
  <c r="B129" i="29"/>
  <c r="N125" i="29"/>
  <c r="E125" i="29"/>
  <c r="N124" i="29"/>
  <c r="E124" i="29"/>
  <c r="N123" i="29"/>
  <c r="E123" i="29"/>
  <c r="N122" i="29"/>
  <c r="E122" i="29"/>
  <c r="N121" i="29"/>
  <c r="E121" i="29"/>
  <c r="N120" i="29"/>
  <c r="E120" i="29"/>
  <c r="N119" i="29"/>
  <c r="E119" i="29"/>
  <c r="N118" i="29"/>
  <c r="E118" i="29"/>
  <c r="N117" i="29"/>
  <c r="E117" i="29"/>
  <c r="N116" i="29"/>
  <c r="E116" i="29"/>
  <c r="N115" i="29"/>
  <c r="E115" i="29"/>
  <c r="N114" i="29"/>
  <c r="E114" i="29"/>
  <c r="N113" i="29"/>
  <c r="E113" i="29"/>
  <c r="N112" i="29"/>
  <c r="E112" i="29"/>
  <c r="N111" i="29"/>
  <c r="E111" i="29"/>
  <c r="N110" i="29"/>
  <c r="E110" i="29"/>
  <c r="N109" i="29"/>
  <c r="E109" i="29"/>
  <c r="N108" i="29"/>
  <c r="E108" i="29"/>
  <c r="N107" i="29"/>
  <c r="E107" i="29"/>
  <c r="N106" i="29"/>
  <c r="E106" i="29"/>
  <c r="N105" i="29"/>
  <c r="E105" i="29"/>
  <c r="N104" i="29"/>
  <c r="E104" i="29"/>
  <c r="N103" i="29"/>
  <c r="E103" i="29"/>
  <c r="N102" i="29"/>
  <c r="E102" i="29"/>
  <c r="N101" i="29"/>
  <c r="E101" i="29"/>
  <c r="N100" i="29"/>
  <c r="E100" i="29"/>
  <c r="N99" i="29"/>
  <c r="E99" i="29"/>
  <c r="N98" i="29"/>
  <c r="E98" i="29"/>
  <c r="N97" i="29"/>
  <c r="E97" i="29"/>
  <c r="N96" i="29"/>
  <c r="E96" i="29"/>
  <c r="N95" i="29"/>
  <c r="E95" i="29"/>
  <c r="N94" i="29"/>
  <c r="E94" i="29"/>
  <c r="N93" i="29"/>
  <c r="E93" i="29"/>
  <c r="N92" i="29"/>
  <c r="E92" i="29"/>
  <c r="N91" i="29"/>
  <c r="E91" i="29"/>
  <c r="N90" i="29"/>
  <c r="E90" i="29"/>
  <c r="N89" i="29"/>
  <c r="E89" i="29"/>
  <c r="N88" i="29"/>
  <c r="E88" i="29"/>
  <c r="N87" i="29"/>
  <c r="E87" i="29"/>
  <c r="N86" i="29"/>
  <c r="E86" i="29"/>
  <c r="N85" i="29"/>
  <c r="E85" i="29"/>
  <c r="N84" i="29"/>
  <c r="E84" i="29"/>
  <c r="N83" i="29"/>
  <c r="E83" i="29"/>
  <c r="N82" i="29"/>
  <c r="E82" i="29"/>
  <c r="N81" i="29"/>
  <c r="E81" i="29"/>
  <c r="N80" i="29"/>
  <c r="E80" i="29"/>
  <c r="N79" i="29"/>
  <c r="E79" i="29"/>
  <c r="N78" i="29"/>
  <c r="E78" i="29"/>
  <c r="N77" i="29"/>
  <c r="E77" i="29"/>
  <c r="N76" i="29"/>
  <c r="E76" i="29"/>
  <c r="N75" i="29"/>
  <c r="E75" i="29"/>
  <c r="N74" i="29"/>
  <c r="E74" i="29"/>
  <c r="N73" i="29"/>
  <c r="E73" i="29"/>
  <c r="N72" i="29"/>
  <c r="E72" i="29"/>
  <c r="N71" i="29"/>
  <c r="E71" i="29"/>
  <c r="N70" i="29"/>
  <c r="E70" i="29"/>
  <c r="N69" i="29"/>
  <c r="E69" i="29"/>
  <c r="N68" i="29"/>
  <c r="E68" i="29"/>
  <c r="N67" i="29"/>
  <c r="E67" i="29"/>
  <c r="N66" i="29"/>
  <c r="E66" i="29"/>
  <c r="N65" i="29"/>
  <c r="E65" i="29"/>
  <c r="N64" i="29"/>
  <c r="E64" i="29"/>
  <c r="N63" i="29"/>
  <c r="E63" i="29"/>
  <c r="N62" i="29"/>
  <c r="E62" i="29"/>
  <c r="N61" i="29"/>
  <c r="E61" i="29"/>
  <c r="N60" i="29"/>
  <c r="E60" i="29"/>
  <c r="N59" i="29"/>
  <c r="E59" i="29"/>
  <c r="N58" i="29"/>
  <c r="E58" i="29"/>
  <c r="N57" i="29"/>
  <c r="E57" i="29"/>
  <c r="N56" i="29"/>
  <c r="E56" i="29"/>
  <c r="N55" i="29"/>
  <c r="E55" i="29"/>
  <c r="N54" i="29"/>
  <c r="E54" i="29"/>
  <c r="N53" i="29"/>
  <c r="E53" i="29"/>
  <c r="N52" i="29"/>
  <c r="E52" i="29"/>
  <c r="N51" i="29"/>
  <c r="E51" i="29"/>
  <c r="N50" i="29"/>
  <c r="E50" i="29"/>
  <c r="N49" i="29"/>
  <c r="E49" i="29"/>
  <c r="N48" i="29"/>
  <c r="E48" i="29"/>
  <c r="N47" i="29"/>
  <c r="E47" i="29"/>
  <c r="N46" i="29"/>
  <c r="E46" i="29"/>
  <c r="N45" i="29"/>
  <c r="E45" i="29"/>
  <c r="N44" i="29"/>
  <c r="E44" i="29"/>
  <c r="N43" i="29"/>
  <c r="E43" i="29"/>
  <c r="N42" i="29"/>
  <c r="E42" i="29"/>
  <c r="N41" i="29"/>
  <c r="E41" i="29"/>
  <c r="N40" i="29"/>
  <c r="E40" i="29"/>
  <c r="E39" i="29"/>
  <c r="N38" i="29"/>
  <c r="E38" i="29"/>
  <c r="N37" i="29"/>
  <c r="E37" i="29"/>
  <c r="N36" i="29"/>
  <c r="E36" i="29"/>
  <c r="N35" i="29"/>
  <c r="E35" i="29"/>
  <c r="N34" i="29"/>
  <c r="E34" i="29"/>
  <c r="N129" i="29"/>
  <c r="C129" i="29"/>
  <c r="N128" i="29"/>
  <c r="N127" i="29"/>
  <c r="N33" i="29"/>
  <c r="E33" i="29"/>
  <c r="N32" i="29"/>
  <c r="E32" i="29"/>
  <c r="N31" i="29"/>
  <c r="E31" i="29"/>
  <c r="N30" i="29"/>
  <c r="E30" i="29"/>
  <c r="N29" i="29"/>
  <c r="E29" i="29"/>
  <c r="N28" i="29"/>
  <c r="E28" i="29"/>
  <c r="N27" i="29"/>
  <c r="E27" i="29"/>
  <c r="N26" i="29"/>
  <c r="E26" i="29"/>
  <c r="N25" i="29"/>
  <c r="E25" i="29"/>
  <c r="N24" i="29"/>
  <c r="E24" i="29"/>
  <c r="N23" i="29"/>
  <c r="E23" i="29"/>
  <c r="N22" i="29"/>
  <c r="E22" i="29"/>
  <c r="N21" i="29"/>
  <c r="E21" i="29"/>
  <c r="N20" i="29"/>
  <c r="E20" i="29"/>
  <c r="N19" i="29"/>
  <c r="E19" i="29"/>
  <c r="N18" i="29"/>
  <c r="N17" i="29"/>
  <c r="E17" i="29"/>
  <c r="N16" i="29"/>
  <c r="E16" i="29"/>
  <c r="N15" i="29"/>
  <c r="E15" i="29"/>
  <c r="N14" i="29"/>
  <c r="E14" i="29"/>
  <c r="N13" i="29"/>
  <c r="E13" i="29"/>
  <c r="N12" i="29"/>
  <c r="E12" i="29"/>
  <c r="N11" i="29"/>
  <c r="E11" i="29"/>
  <c r="N10" i="29"/>
  <c r="E10" i="29"/>
  <c r="N9" i="29"/>
  <c r="E9" i="29"/>
  <c r="N8" i="29"/>
  <c r="E8" i="29"/>
  <c r="N7" i="29"/>
  <c r="E7" i="29"/>
  <c r="N6" i="29"/>
  <c r="E6" i="29"/>
  <c r="N5" i="29"/>
  <c r="E5" i="29"/>
  <c r="N4" i="29"/>
  <c r="E4" i="29"/>
  <c r="N3" i="29"/>
  <c r="E3" i="29"/>
  <c r="N126" i="29"/>
  <c r="E126" i="29"/>
  <c r="E185" i="28"/>
  <c r="N184" i="28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70" i="28"/>
  <c r="E170" i="28"/>
  <c r="N169" i="28"/>
  <c r="E169" i="28"/>
  <c r="N168" i="28"/>
  <c r="E168" i="28"/>
  <c r="N161" i="28"/>
  <c r="E161" i="28"/>
  <c r="N160" i="28"/>
  <c r="E160" i="28"/>
  <c r="N159" i="28"/>
  <c r="E159" i="28"/>
  <c r="N158" i="28"/>
  <c r="E158" i="28"/>
  <c r="N157" i="28"/>
  <c r="E157" i="28"/>
  <c r="N156" i="28"/>
  <c r="E156" i="28"/>
  <c r="N155" i="28"/>
  <c r="E155" i="28"/>
  <c r="N154" i="28"/>
  <c r="E154" i="28"/>
  <c r="E186" i="28"/>
  <c r="N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62" i="28"/>
  <c r="N162" i="28"/>
  <c r="E163" i="28"/>
  <c r="N163" i="28"/>
  <c r="E164" i="28"/>
  <c r="N164" i="28"/>
  <c r="E165" i="28"/>
  <c r="N165" i="28"/>
  <c r="E166" i="28"/>
  <c r="N16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<sst xmlns="http://schemas.openxmlformats.org/spreadsheetml/2006/main" count="11662" uniqueCount="5279">
  <si>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</si>
  <si>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</si>
  <si>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</si>
  <si>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</si>
  <si>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</si>
  <si>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</si>
  <si>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</si>
  <si>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</si>
  <si>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</si>
  <si>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</si>
  <si>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</si>
  <si>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</si>
  <si>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</si>
  <si>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</si>
  <si>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</si>
  <si>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</si>
  <si>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</si>
  <si>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</si>
  <si>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</si>
  <si>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</si>
  <si>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</si>
  <si>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</si>
  <si>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</si>
  <si>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</si>
  <si>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</si>
  <si>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</si>
  <si>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</si>
  <si>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</si>
  <si>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</si>
  <si>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</si>
  <si>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</si>
  <si>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</si>
  <si>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</si>
  <si>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</si>
  <si>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</si>
  <si>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</si>
  <si>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</si>
  <si>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</si>
  <si>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</si>
  <si>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</si>
  <si>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</si>
  <si>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</si>
  <si>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</si>
  <si>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</si>
  <si>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</si>
  <si>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</si>
  <si>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</si>
  <si>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</si>
  <si>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</si>
  <si>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</si>
  <si>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</si>
  <si>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</si>
  <si>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</si>
  <si>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</si>
  <si>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</si>
  <si>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</si>
  <si>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</si>
  <si>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</si>
  <si>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</si>
  <si>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</si>
  <si>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</si>
  <si>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</si>
  <si>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</si>
  <si>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</si>
  <si>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</si>
  <si>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</si>
  <si>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</si>
  <si>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</si>
  <si>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</si>
  <si>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</si>
  <si>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</si>
  <si>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</si>
  <si>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</si>
  <si>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</si>
  <si>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</si>
  <si>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</si>
  <si>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</si>
  <si>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</si>
  <si>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</si>
  <si>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</si>
  <si>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</si>
  <si>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</si>
  <si>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</si>
  <si>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</si>
  <si>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</si>
  <si>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</si>
  <si>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</si>
  <si>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</si>
  <si>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</si>
  <si>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</si>
  <si>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</si>
  <si>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</si>
  <si>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</si>
  <si>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</si>
  <si>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</si>
  <si>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</si>
  <si>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</si>
  <si>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</si>
  <si>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</si>
  <si>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</si>
  <si>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</si>
  <si>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</si>
  <si>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</si>
  <si>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</si>
  <si>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</si>
  <si>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</si>
  <si>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</si>
  <si>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</si>
  <si>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</si>
  <si>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</si>
  <si>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</si>
  <si>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</si>
  <si>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</si>
  <si>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</si>
  <si>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</si>
  <si>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</si>
  <si>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</si>
  <si>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</si>
  <si>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</si>
  <si>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</si>
  <si>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</si>
  <si>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</si>
  <si>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</si>
  <si>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</si>
  <si>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</si>
  <si>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</si>
  <si>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</si>
  <si>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</si>
  <si>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</si>
  <si>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</si>
  <si>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</si>
  <si>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</si>
  <si>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</si>
  <si>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</si>
  <si>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</si>
  <si>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</si>
  <si>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</si>
  <si>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</si>
  <si>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</si>
  <si>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</si>
  <si>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</si>
  <si>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</si>
  <si>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</si>
  <si>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</si>
  <si>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</si>
  <si>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</si>
  <si>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</si>
  <si>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</si>
  <si>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</si>
  <si>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</si>
  <si>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</si>
  <si>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</si>
  <si>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</si>
  <si>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</si>
  <si>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</si>
  <si>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</si>
  <si>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</si>
  <si>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</si>
  <si>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</si>
  <si>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</si>
  <si>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</si>
  <si>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</si>
  <si>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</si>
  <si>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</si>
  <si>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</si>
  <si>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</si>
  <si>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</si>
  <si>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</si>
  <si>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</si>
  <si>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</si>
  <si>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</si>
  <si>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</si>
  <si>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</si>
  <si>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</si>
  <si>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</si>
  <si>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</si>
  <si>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</si>
  <si>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</si>
  <si>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</si>
  <si>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</si>
  <si>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</si>
  <si>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</si>
  <si>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</si>
  <si>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</si>
  <si>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</si>
  <si>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</si>
  <si>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</si>
  <si>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</si>
  <si>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</si>
  <si>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</si>
  <si>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</si>
  <si>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</si>
  <si>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</si>
  <si>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</si>
  <si>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</si>
  <si>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</si>
  <si>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</si>
  <si>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</si>
  <si>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</si>
  <si>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</si>
  <si>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</si>
  <si>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</si>
  <si>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</si>
  <si>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</si>
  <si>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</si>
  <si>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</si>
  <si>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</si>
  <si>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</si>
  <si>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</si>
  <si>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</si>
  <si>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</si>
  <si>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</si>
  <si>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</si>
  <si>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</si>
  <si>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</si>
  <si>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</si>
  <si>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</si>
  <si>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</si>
  <si>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</si>
  <si>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</si>
  <si>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</si>
  <si>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</si>
  <si>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</si>
  <si>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</si>
  <si>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</si>
  <si>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</si>
  <si>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</si>
  <si>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</si>
  <si>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</si>
  <si>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</si>
  <si>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</si>
  <si>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</si>
  <si>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</si>
  <si>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</si>
  <si>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</si>
  <si>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</si>
  <si>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</si>
  <si>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</si>
  <si>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</si>
  <si>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</si>
  <si>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</si>
  <si>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</si>
  <si>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</si>
  <si>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</si>
  <si>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</si>
  <si>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</si>
  <si>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</si>
  <si>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</si>
  <si>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</si>
  <si>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</si>
  <si>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</si>
  <si>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</si>
  <si>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</si>
  <si>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</si>
  <si>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</si>
  <si>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</si>
  <si>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</si>
  <si>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</si>
  <si>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</si>
  <si>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</si>
  <si>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</si>
  <si>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</si>
  <si>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</si>
  <si>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</si>
  <si>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</si>
  <si>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</si>
  <si>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</si>
  <si>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</si>
  <si>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</si>
  <si>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</si>
  <si>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</si>
  <si>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</si>
  <si>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</si>
  <si>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</si>
  <si>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</si>
  <si>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</si>
  <si>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</si>
  <si>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</si>
  <si>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</si>
  <si>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</si>
  <si>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</si>
  <si>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</si>
  <si>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</si>
  <si>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</si>
  <si>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</si>
  <si>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</si>
  <si>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</si>
  <si>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</si>
  <si>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</si>
  <si>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</si>
  <si>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</si>
  <si>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</si>
  <si>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</si>
  <si>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</si>
  <si>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</si>
  <si>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</si>
  <si>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</si>
  <si>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</si>
  <si>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</si>
  <si>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</si>
  <si>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</si>
  <si>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</si>
  <si>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</si>
  <si>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</si>
  <si>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</si>
  <si>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</si>
  <si>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</si>
  <si>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</si>
  <si>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</si>
  <si>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</si>
  <si>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</si>
  <si>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</si>
  <si>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</si>
  <si>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</si>
  <si>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</si>
  <si>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</si>
  <si>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</si>
  <si>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</si>
  <si>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</si>
  <si>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</si>
  <si>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</si>
  <si>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</si>
  <si>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</si>
  <si>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</si>
  <si>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</si>
  <si>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</si>
  <si>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</si>
  <si>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</si>
  <si>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</si>
  <si>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</si>
  <si>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</si>
  <si>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</si>
  <si>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</si>
  <si>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</si>
  <si>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</si>
  <si>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</si>
  <si>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</si>
  <si>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</si>
  <si>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</si>
  <si>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</si>
  <si>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</si>
  <si>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</si>
  <si>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</si>
  <si>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</si>
  <si>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</si>
  <si>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</si>
  <si>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</si>
  <si>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</si>
  <si>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</si>
  <si>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</si>
  <si>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</si>
  <si>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</si>
  <si>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</si>
  <si>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</si>
  <si>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</si>
  <si>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</si>
  <si>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</si>
  <si>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</si>
  <si>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</si>
  <si>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</si>
  <si>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</si>
  <si>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</si>
  <si>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</si>
  <si>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</si>
  <si>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</si>
  <si>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</si>
  <si>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</si>
  <si>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</si>
  <si>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</si>
  <si>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</si>
  <si>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</si>
  <si>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</si>
  <si>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</si>
  <si>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</si>
  <si>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</si>
  <si>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</si>
  <si>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</si>
  <si>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</si>
  <si>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</si>
  <si>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</si>
  <si>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</si>
  <si>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</si>
  <si>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</si>
  <si>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</si>
  <si>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</si>
  <si>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</si>
  <si>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</si>
  <si>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</si>
  <si>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</si>
  <si>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</si>
  <si>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</si>
  <si>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</si>
  <si>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</si>
  <si>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</si>
  <si>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</si>
  <si>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</si>
  <si>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</si>
  <si>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</si>
  <si>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</si>
  <si>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</si>
  <si>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</si>
  <si>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</si>
  <si>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</si>
  <si>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</si>
  <si>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</si>
  <si>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</si>
  <si>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</si>
  <si>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</si>
  <si>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</si>
  <si>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</si>
  <si>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</si>
  <si>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</si>
  <si>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</si>
  <si>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</si>
  <si>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</si>
  <si>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</si>
  <si>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</si>
  <si>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</si>
  <si>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</si>
  <si>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</si>
  <si>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</si>
  <si>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</si>
  <si>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</si>
  <si>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</si>
  <si>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</si>
  <si>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</si>
  <si>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</si>
  <si>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</si>
  <si>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</si>
  <si>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</si>
  <si>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</si>
  <si>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</si>
  <si>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</si>
  <si>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</si>
  <si>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</si>
  <si>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</si>
  <si>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</si>
  <si>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</si>
  <si>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</si>
  <si>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</si>
  <si>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</si>
  <si>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</si>
  <si>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</si>
  <si>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</si>
  <si>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</si>
  <si>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</si>
  <si>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</si>
  <si>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</si>
  <si>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</si>
  <si>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</si>
  <si>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</si>
  <si>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</si>
  <si>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</si>
  <si>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</si>
  <si>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</si>
  <si>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</si>
  <si>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</si>
  <si>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</si>
  <si>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</si>
  <si>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</si>
  <si>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</si>
  <si>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</si>
  <si>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</si>
  <si>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</si>
  <si>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</si>
  <si>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</si>
  <si>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</si>
  <si>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</si>
  <si>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</si>
  <si>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</si>
  <si>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</si>
  <si>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</si>
  <si>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</si>
  <si>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</si>
  <si>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</si>
  <si>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</si>
  <si>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</si>
  <si>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</si>
  <si>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</si>
  <si>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</si>
  <si>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</si>
  <si>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</si>
  <si>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</si>
  <si>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</si>
  <si>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</si>
  <si>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</si>
  <si>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</si>
  <si>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</si>
  <si>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</si>
  <si>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</si>
  <si>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</si>
  <si>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</si>
  <si>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</si>
  <si>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</si>
  <si>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</si>
  <si>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</si>
  <si>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</si>
  <si>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</si>
  <si>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</si>
  <si>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</si>
  <si>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</si>
  <si>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</si>
  <si>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</si>
  <si>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</si>
  <si>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</si>
  <si>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</si>
  <si>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</si>
  <si>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</si>
  <si>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</si>
  <si>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</si>
  <si>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</si>
  <si>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</si>
  <si>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</si>
  <si>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</si>
  <si>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</si>
  <si>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</si>
  <si>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</si>
  <si>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</si>
  <si>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</si>
  <si>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</si>
  <si>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</si>
  <si>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</si>
  <si>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</si>
  <si>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</si>
  <si>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</si>
  <si>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</si>
  <si>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</si>
  <si>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</si>
  <si>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</si>
  <si>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</si>
  <si>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</si>
  <si>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</si>
  <si>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</si>
  <si>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</si>
  <si>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</si>
  <si>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</si>
  <si>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</si>
  <si>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</si>
  <si>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</si>
  <si>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</si>
  <si>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</si>
  <si>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</si>
  <si>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</si>
  <si>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</si>
  <si>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</si>
  <si>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</si>
  <si>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</si>
  <si>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</si>
  <si>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</si>
  <si>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</si>
  <si>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</si>
  <si>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</si>
  <si>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</si>
  <si>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</si>
  <si>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</si>
  <si>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</si>
  <si>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</si>
  <si>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</si>
  <si>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</si>
  <si>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</si>
  <si>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</si>
  <si>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</si>
  <si>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</si>
  <si>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</si>
  <si>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</si>
  <si>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</si>
  <si>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</si>
  <si>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</si>
  <si>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</si>
  <si>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</si>
  <si>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</si>
  <si>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</si>
  <si>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</si>
  <si>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</si>
  <si>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</si>
  <si>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</si>
  <si>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</si>
  <si>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</si>
  <si>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</si>
  <si>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</si>
  <si>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</si>
  <si>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</si>
  <si>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</si>
  <si>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</si>
  <si>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</si>
  <si>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</si>
  <si>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</si>
  <si>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</si>
  <si>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</si>
  <si>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</si>
  <si>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</si>
  <si>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</si>
  <si>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</si>
  <si>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</si>
  <si>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</si>
  <si>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</si>
  <si>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</si>
  <si>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</si>
  <si>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</si>
  <si>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</si>
  <si>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</si>
  <si>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</si>
  <si>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</si>
  <si>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</si>
  <si>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</si>
  <si>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</si>
  <si>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</si>
  <si>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</si>
  <si>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</si>
  <si>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</si>
  <si>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</si>
  <si>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</si>
  <si>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</si>
  <si>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</si>
  <si>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</si>
  <si>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</si>
  <si>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</si>
  <si>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</si>
  <si>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</si>
  <si>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</si>
  <si>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</si>
  <si>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</si>
  <si>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</si>
  <si>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</si>
  <si>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</si>
  <si>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</si>
  <si>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</si>
  <si>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</si>
  <si>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</si>
  <si>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</si>
  <si>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</si>
  <si>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</si>
  <si>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</si>
  <si>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</si>
  <si>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</si>
  <si>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</si>
  <si>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</si>
  <si>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</si>
  <si>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</si>
  <si>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</si>
  <si>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</si>
  <si>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</si>
  <si>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</si>
  <si>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</si>
  <si>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</si>
  <si>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</si>
  <si>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</si>
  <si>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</si>
  <si>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</si>
  <si>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</si>
  <si>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</si>
  <si>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</si>
  <si>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</si>
  <si>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</si>
  <si>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</si>
  <si>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</si>
  <si>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</si>
  <si>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</si>
  <si>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</si>
  <si>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</si>
  <si>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</si>
  <si>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</si>
  <si>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</si>
  <si>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</si>
  <si>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</si>
  <si>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</si>
  <si>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</si>
  <si>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</si>
  <si>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</si>
  <si>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</si>
  <si>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</si>
  <si>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</si>
  <si>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</si>
  <si>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</si>
  <si>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</si>
  <si>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</si>
  <si>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</si>
  <si>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</si>
  <si>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</si>
  <si>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</si>
  <si>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</si>
  <si>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</si>
  <si>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</si>
  <si>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</si>
  <si>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</si>
  <si>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</si>
  <si>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</si>
  <si>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</si>
  <si>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</si>
  <si>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</si>
  <si>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</si>
  <si>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</si>
  <si>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</si>
  <si>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</si>
  <si>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</si>
  <si>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</si>
  <si>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</si>
  <si>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</si>
  <si>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</si>
  <si>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</si>
  <si>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</si>
  <si>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</si>
  <si>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</si>
  <si>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</si>
  <si>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</si>
  <si>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</si>
  <si>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</si>
  <si>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</si>
  <si>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</si>
  <si>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</si>
  <si>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</si>
  <si>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</si>
  <si>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</si>
  <si>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</si>
  <si>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</si>
  <si>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</si>
  <si>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</si>
  <si>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</si>
  <si>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</si>
  <si>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</si>
  <si>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</si>
  <si>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</si>
  <si>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</si>
  <si>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</si>
  <si>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</si>
  <si>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</si>
  <si>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</si>
  <si>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</si>
  <si>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</si>
  <si>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</si>
  <si>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</si>
  <si>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</si>
  <si>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</si>
  <si>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</si>
  <si>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</si>
  <si>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</si>
  <si>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</si>
  <si>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</si>
  <si>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</si>
  <si>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</si>
  <si>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</si>
  <si>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</si>
  <si>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</si>
  <si>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</si>
  <si>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</si>
  <si>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</si>
  <si>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</si>
  <si>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</si>
  <si>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</si>
  <si>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</si>
  <si>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</si>
  <si>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</si>
  <si>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</si>
  <si>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</si>
  <si>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</si>
  <si>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</si>
  <si>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</si>
  <si>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</si>
  <si>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</si>
  <si>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</si>
  <si>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</si>
  <si>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</si>
  <si>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</si>
  <si>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</si>
  <si>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</si>
  <si>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</si>
  <si>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</si>
  <si>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</si>
  <si>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</si>
  <si>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</si>
  <si>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</si>
  <si>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</si>
  <si>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</si>
  <si>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</si>
  <si>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</si>
  <si>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</si>
  <si>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</si>
  <si>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</si>
  <si>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</si>
  <si>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</si>
  <si>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</si>
  <si>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</si>
  <si>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</si>
  <si>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</si>
  <si>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</si>
  <si>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</si>
  <si>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</si>
  <si>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</si>
  <si>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</si>
  <si>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</si>
  <si>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</si>
  <si>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</si>
  <si>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</si>
  <si>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</si>
  <si>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</si>
  <si>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</si>
  <si>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</si>
  <si>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</si>
  <si>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</si>
  <si>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</si>
  <si>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</si>
  <si>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</si>
  <si>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</si>
  <si>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</si>
  <si>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</si>
  <si>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</si>
  <si>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</si>
  <si>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</si>
  <si>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</si>
  <si>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</si>
  <si>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</si>
  <si>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</si>
  <si>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</si>
  <si>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</si>
  <si>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</si>
  <si>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</si>
  <si>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</si>
  <si>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</si>
  <si>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</si>
  <si>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</si>
  <si>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</si>
  <si>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</si>
  <si>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</si>
  <si>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</si>
  <si>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</si>
  <si>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</si>
  <si>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</si>
  <si>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</si>
  <si>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</si>
  <si>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</si>
  <si>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</si>
  <si>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</si>
  <si>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</si>
  <si>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</si>
  <si>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</si>
  <si>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</si>
  <si>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</si>
  <si>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</si>
  <si>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</si>
  <si>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</si>
  <si>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</si>
  <si>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</si>
  <si>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</si>
  <si>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</si>
  <si>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</si>
  <si>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</si>
  <si>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</si>
  <si>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</si>
  <si>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</si>
  <si>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</si>
  <si>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</si>
  <si>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</si>
  <si>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</si>
  <si>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</si>
  <si>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</si>
  <si>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</si>
  <si>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</si>
  <si>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</si>
  <si>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</si>
  <si>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</si>
  <si>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</si>
  <si>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</si>
  <si>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</si>
  <si>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</si>
  <si>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</si>
  <si>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</si>
  <si>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</si>
  <si>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</si>
  <si>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</si>
  <si>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</si>
  <si>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</si>
  <si>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</si>
  <si>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</si>
  <si>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</si>
  <si>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</si>
  <si>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</si>
  <si>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</si>
  <si>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</si>
  <si>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</si>
  <si>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</si>
  <si>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</si>
  <si>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</si>
  <si>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</si>
  <si>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</si>
  <si>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</si>
  <si>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</si>
  <si>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</si>
  <si>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</si>
  <si>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</si>
  <si>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</si>
  <si>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</si>
  <si>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</si>
  <si>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</si>
  <si>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</si>
  <si>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</si>
  <si>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</si>
  <si>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</si>
  <si>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</si>
  <si>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</si>
  <si>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</si>
  <si>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</si>
  <si>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</si>
  <si>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</si>
  <si>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</si>
  <si>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</si>
  <si>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</si>
  <si>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</si>
  <si>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</si>
  <si>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</si>
  <si>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</si>
  <si>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</si>
  <si>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</si>
  <si>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</si>
  <si>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</si>
  <si>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</si>
  <si>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</si>
  <si>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</si>
  <si>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</si>
  <si>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</si>
  <si>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</si>
  <si>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</si>
  <si>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</si>
  <si>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</si>
  <si>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</si>
  <si>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</si>
  <si>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</si>
  <si>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</si>
  <si>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</si>
  <si>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</si>
  <si>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</si>
  <si>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</si>
  <si>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</si>
  <si>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</si>
  <si>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</si>
  <si>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</si>
  <si>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</si>
  <si>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</si>
  <si>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</si>
  <si>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</si>
  <si>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</si>
  <si>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</si>
  <si>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</si>
  <si>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</si>
  <si>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</si>
  <si>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</si>
  <si>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</si>
  <si>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</si>
  <si>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</si>
  <si>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</si>
  <si>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</si>
  <si>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</si>
  <si>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</si>
  <si>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</si>
  <si>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</si>
  <si>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</si>
  <si>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</si>
  <si>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</si>
  <si>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</si>
  <si>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</si>
  <si>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</si>
  <si>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</si>
  <si>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</si>
  <si>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</si>
  <si>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</si>
  <si>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</si>
  <si>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</si>
  <si>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</si>
  <si>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</si>
  <si>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</si>
  <si>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</si>
  <si>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</si>
  <si>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</si>
  <si>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</si>
  <si>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</si>
  <si>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</si>
  <si>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</si>
  <si>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</si>
  <si>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</si>
  <si>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</si>
  <si>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</si>
  <si>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</si>
  <si>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</si>
  <si>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</si>
  <si>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</si>
  <si>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</si>
  <si>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</si>
  <si>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</si>
  <si>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</si>
  <si>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</si>
  <si>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</si>
  <si>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</si>
  <si>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</si>
  <si>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</si>
  <si>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</si>
  <si>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</si>
  <si>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</si>
  <si>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</si>
  <si>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</si>
  <si>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</si>
  <si>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</si>
  <si>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</si>
  <si>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</si>
  <si>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</si>
  <si>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</si>
  <si>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</si>
  <si>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</si>
  <si>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</si>
  <si>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</si>
  <si>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</si>
  <si>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</si>
  <si>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</si>
  <si>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</si>
  <si>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</si>
  <si>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</si>
  <si>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</si>
  <si>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</si>
  <si>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</si>
  <si>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</si>
  <si>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</si>
  <si>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</si>
  <si>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</si>
  <si>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</si>
  <si>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</si>
  <si>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</si>
  <si>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</si>
  <si>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</si>
  <si>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</si>
  <si>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</si>
  <si>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</si>
  <si>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</si>
  <si>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</si>
  <si>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</si>
  <si>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</si>
  <si>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</si>
  <si>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</si>
  <si>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</si>
  <si>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</si>
  <si>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</si>
  <si>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</si>
  <si>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</si>
  <si>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</si>
  <si>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</si>
  <si>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</si>
  <si>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</si>
  <si>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</si>
  <si>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</si>
  <si>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</si>
  <si>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</si>
  <si>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</si>
  <si>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</si>
  <si>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</si>
  <si>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</si>
  <si>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</si>
  <si>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</si>
  <si>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</si>
  <si>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</si>
  <si>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</si>
  <si>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</si>
  <si>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</si>
  <si>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</si>
  <si>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</si>
  <si>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</si>
  <si>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</si>
  <si>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</si>
  <si>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</si>
  <si>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</si>
  <si>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</si>
  <si>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</si>
  <si>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</si>
  <si>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</si>
  <si>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</si>
  <si>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</si>
  <si>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</si>
  <si>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</si>
  <si>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</si>
  <si>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</si>
  <si>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</si>
  <si>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</si>
  <si>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</si>
  <si>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</si>
  <si>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</si>
  <si>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</si>
  <si>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</si>
  <si>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</si>
  <si>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</si>
  <si>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</si>
  <si>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</si>
  <si>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</si>
  <si>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</si>
  <si>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</si>
  <si>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</si>
  <si>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</si>
  <si>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</si>
  <si>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</si>
  <si>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</si>
  <si>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</si>
  <si>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</si>
  <si>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</si>
  <si>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</si>
  <si>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</si>
  <si>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</si>
  <si>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</si>
  <si>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</si>
  <si>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</si>
  <si>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</si>
  <si>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</si>
  <si>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</si>
  <si>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</si>
  <si>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</si>
  <si>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</si>
  <si>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</si>
  <si>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</si>
  <si>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</si>
  <si>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</si>
  <si>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</si>
  <si>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</si>
  <si>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</si>
  <si>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</si>
  <si>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</si>
  <si>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</si>
  <si>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</si>
  <si>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</si>
  <si>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</si>
  <si>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</si>
  <si>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</si>
  <si>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</si>
  <si>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</si>
  <si>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</si>
  <si>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</si>
  <si>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</si>
  <si>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</si>
  <si>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</si>
  <si>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</si>
  <si>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</si>
  <si>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</si>
  <si>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</si>
  <si>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</si>
  <si>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</si>
  <si>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</si>
  <si>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</si>
  <si>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</si>
  <si>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</si>
  <si>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</si>
  <si>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</si>
  <si>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</si>
  <si>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</si>
  <si>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</si>
  <si>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</si>
  <si>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</si>
  <si>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</si>
  <si>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</si>
  <si>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</si>
  <si>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</si>
  <si>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</si>
  <si>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</si>
  <si>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</si>
  <si>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</si>
  <si>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</si>
  <si>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</si>
  <si>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</si>
  <si>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</si>
  <si>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</si>
  <si>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</si>
  <si>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</si>
  <si>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</si>
  <si>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</si>
  <si>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</si>
  <si>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</si>
  <si>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</si>
  <si>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</si>
  <si>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</si>
  <si>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</si>
  <si>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</si>
  <si>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</si>
  <si>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</si>
  <si>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</si>
  <si>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</si>
  <si>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</si>
  <si>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</si>
  <si>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</si>
  <si>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</si>
  <si>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</si>
  <si>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</si>
  <si>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</si>
  <si>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</si>
  <si>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</si>
  <si>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</si>
  <si>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</si>
  <si>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</si>
  <si>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</si>
  <si>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</si>
  <si>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</si>
  <si>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</si>
  <si>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</si>
  <si>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</si>
  <si>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</si>
  <si>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</si>
  <si>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</si>
  <si>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</si>
  <si>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</si>
  <si>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</si>
  <si>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</si>
  <si>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</si>
  <si>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</si>
  <si>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</si>
  <si>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</si>
  <si>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</si>
  <si>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</si>
  <si>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</si>
  <si>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</si>
  <si>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</si>
  <si>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</si>
  <si>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</si>
  <si>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</si>
  <si>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</si>
  <si>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</si>
  <si>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</si>
  <si>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</si>
  <si>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</si>
  <si>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</si>
  <si>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</si>
  <si>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</si>
  <si>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</si>
  <si>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</si>
  <si>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</si>
  <si>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</si>
  <si>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</si>
  <si>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</si>
  <si>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</si>
  <si>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</si>
  <si>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</si>
  <si>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</si>
  <si>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</si>
  <si>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</si>
  <si>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</si>
  <si>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</si>
  <si>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</si>
  <si>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</si>
  <si>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</si>
  <si>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</si>
  <si>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</si>
  <si>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</si>
  <si>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</si>
  <si>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</si>
  <si>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</si>
  <si>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</si>
  <si>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</si>
  <si>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</si>
  <si>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</si>
  <si>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</si>
  <si>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</si>
  <si>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</si>
  <si>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</si>
  <si>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</si>
  <si>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</si>
  <si>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</si>
  <si>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</si>
  <si>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</si>
  <si>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</si>
  <si>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</si>
  <si>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</si>
  <si>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</si>
  <si>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</si>
  <si>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</si>
  <si>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</si>
  <si>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</si>
  <si>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</si>
  <si>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</si>
  <si>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</si>
  <si>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</si>
  <si>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</si>
  <si>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</si>
  <si>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</si>
  <si>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</si>
  <si>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</si>
  <si>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</si>
  <si>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</si>
  <si>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</si>
  <si>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</si>
  <si>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</si>
  <si>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</si>
  <si>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</si>
  <si>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</si>
  <si>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</si>
  <si>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</si>
  <si>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</si>
  <si>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</si>
  <si>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</si>
  <si>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</si>
  <si>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</si>
  <si>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</si>
  <si>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</si>
  <si>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</si>
  <si>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</si>
  <si>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</si>
  <si>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</si>
  <si>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</si>
  <si>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</si>
  <si>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</si>
  <si>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</si>
  <si>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</si>
  <si>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</si>
  <si>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</si>
  <si>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</si>
  <si>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</si>
  <si>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</si>
  <si>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</si>
  <si>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</si>
  <si>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</si>
  <si>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</si>
  <si>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</si>
  <si>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</si>
  <si>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</si>
  <si>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</si>
  <si>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</si>
  <si>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</si>
  <si>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</si>
  <si>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</si>
  <si>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</si>
  <si>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</si>
  <si>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</si>
  <si>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</si>
  <si>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</si>
  <si>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</si>
  <si>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</si>
  <si>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</si>
  <si>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</si>
  <si>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</si>
  <si>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</si>
  <si>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</si>
  <si>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</si>
  <si>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</si>
  <si>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</si>
  <si>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</si>
  <si>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</si>
  <si>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</si>
  <si>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</si>
  <si>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</si>
  <si>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</si>
  <si>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</si>
  <si>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</si>
  <si>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</si>
  <si>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</si>
  <si>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</si>
  <si>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</si>
  <si>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</si>
  <si>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</si>
  <si>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</si>
  <si>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</si>
  <si>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</si>
  <si>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</si>
  <si>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</si>
  <si>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</si>
  <si>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</si>
  <si>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</si>
  <si>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</si>
  <si>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</si>
  <si>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</si>
  <si>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</si>
  <si>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</si>
  <si>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</si>
  <si>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</si>
  <si>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</si>
  <si>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</si>
  <si>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</si>
  <si>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</si>
  <si>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</si>
  <si>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</si>
  <si>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</si>
  <si>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</si>
  <si>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</si>
  <si>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</si>
  <si>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</si>
  <si>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</si>
  <si>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</si>
  <si>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</si>
  <si>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</si>
  <si>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</si>
  <si>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</si>
  <si>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</si>
  <si>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</si>
  <si>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</si>
  <si>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</si>
  <si>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</si>
  <si>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</si>
  <si>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</si>
  <si>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</si>
  <si>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</si>
  <si>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</si>
  <si>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</si>
  <si>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</si>
  <si>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</si>
  <si>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</si>
  <si>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</si>
  <si>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</si>
  <si>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</si>
  <si>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</si>
  <si>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</si>
  <si>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</si>
  <si>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</si>
  <si>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</si>
  <si>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</si>
  <si>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</si>
  <si>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</si>
  <si>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</si>
  <si>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</si>
  <si>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</si>
  <si>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</si>
  <si>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</si>
  <si>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</si>
  <si>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</si>
  <si>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</si>
  <si>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</si>
  <si>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</si>
  <si>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</si>
  <si>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</si>
  <si>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</si>
  <si>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</si>
  <si>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</si>
  <si>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</si>
  <si>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</si>
  <si>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</si>
  <si>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</si>
  <si>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</si>
  <si>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</si>
  <si>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</si>
  <si>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</si>
  <si>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</si>
  <si>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</si>
  <si>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</si>
  <si>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</si>
  <si>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</si>
  <si>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</si>
  <si>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</si>
  <si>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</si>
  <si>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</si>
  <si>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</si>
  <si>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</si>
  <si>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</si>
  <si>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</si>
  <si>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</si>
  <si>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</si>
  <si>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</si>
  <si>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</si>
  <si>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</si>
  <si>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</si>
  <si>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</si>
  <si>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</si>
  <si>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</si>
  <si>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</si>
  <si>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</si>
  <si>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</si>
  <si>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</si>
  <si>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</si>
  <si>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</si>
  <si>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</si>
  <si>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</si>
  <si>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</si>
  <si>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</si>
  <si>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</si>
  <si>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</si>
  <si>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</si>
  <si>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</si>
  <si>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</si>
  <si>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</si>
  <si>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</si>
  <si>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</si>
  <si>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</si>
  <si>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</si>
  <si>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</si>
  <si>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</si>
  <si>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</si>
  <si>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</si>
  <si>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</si>
  <si>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</si>
  <si>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</si>
  <si>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</si>
  <si>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</si>
  <si>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</si>
  <si>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</si>
  <si>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</si>
  <si>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</si>
  <si>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</si>
  <si>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</si>
  <si>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</si>
  <si>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</si>
  <si>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</si>
  <si>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</si>
  <si>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</si>
  <si>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</si>
  <si>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</si>
  <si>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</si>
  <si>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</si>
  <si>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</si>
  <si>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</si>
  <si>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</si>
  <si>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</si>
  <si>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</si>
  <si>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</si>
  <si>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</si>
  <si>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</si>
  <si>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</si>
  <si>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</si>
  <si>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</si>
  <si>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</si>
  <si>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</si>
  <si>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</si>
  <si>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</si>
  <si>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</si>
  <si>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</si>
  <si>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</si>
  <si>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</si>
  <si>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</si>
  <si>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</si>
  <si>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</si>
  <si>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</si>
  <si>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</si>
  <si>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</si>
  <si>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</si>
  <si>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</si>
  <si>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</si>
  <si>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</si>
  <si>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</si>
  <si>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</si>
  <si>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</si>
  <si>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</si>
  <si>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</si>
  <si>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</si>
  <si>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</si>
  <si>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</si>
  <si>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</si>
  <si>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</si>
  <si>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</si>
  <si>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</si>
  <si>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</si>
  <si>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</si>
  <si>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</si>
  <si>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</si>
  <si>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</si>
  <si>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</si>
  <si>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</si>
  <si>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</si>
  <si>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</si>
  <si>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</si>
  <si>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</si>
  <si>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</si>
  <si>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</si>
  <si>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</si>
  <si>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</si>
  <si>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</si>
  <si>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</si>
  <si>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</si>
  <si>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</si>
  <si>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</si>
  <si>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</si>
  <si>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</si>
  <si>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</si>
  <si>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</si>
  <si>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</si>
  <si>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</si>
  <si>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</si>
  <si>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</si>
  <si>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</si>
  <si>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</si>
  <si>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</si>
  <si>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</si>
  <si>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</si>
  <si>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</si>
  <si>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</si>
  <si>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</si>
  <si>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</si>
  <si>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</si>
  <si>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</si>
  <si>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</si>
  <si>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</si>
  <si>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</si>
  <si>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</si>
  <si>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</si>
  <si>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</si>
  <si>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</si>
  <si>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</si>
  <si>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</si>
  <si>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</si>
  <si>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</si>
  <si>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</si>
  <si>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</si>
  <si>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</si>
  <si>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</si>
  <si>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</si>
  <si>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</si>
  <si>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</si>
  <si>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</si>
  <si>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</si>
  <si>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</si>
  <si>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</si>
  <si>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</si>
  <si>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</si>
  <si>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</si>
  <si>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</si>
  <si>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</si>
  <si>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</si>
  <si>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</si>
  <si>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</si>
  <si>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</si>
  <si>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</si>
  <si>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</si>
  <si>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</si>
  <si>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</si>
  <si>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</si>
  <si>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</si>
  <si>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</si>
  <si>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</si>
  <si>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</si>
  <si>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</si>
  <si>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</si>
  <si>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</si>
  <si>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</si>
  <si>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</si>
  <si>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</si>
  <si>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</si>
  <si>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</si>
  <si>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</si>
  <si>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</si>
  <si>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</si>
  <si>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</si>
  <si>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</si>
  <si>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</si>
  <si>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</si>
  <si>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</si>
  <si>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</si>
  <si>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</si>
  <si>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</si>
  <si>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</si>
  <si>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</si>
  <si>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</si>
  <si>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</si>
  <si>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</si>
  <si>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</si>
  <si>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</si>
  <si>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</si>
  <si>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</si>
  <si>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</si>
  <si>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</si>
  <si>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</si>
  <si>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</si>
  <si>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</si>
  <si>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</si>
  <si>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</si>
  <si>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</si>
  <si>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</si>
  <si>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</si>
  <si>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</si>
  <si>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</si>
  <si>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</si>
  <si>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</si>
  <si>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</si>
  <si>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</si>
  <si>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</si>
  <si>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</si>
  <si>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</si>
  <si>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</si>
  <si>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</si>
  <si>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</si>
  <si>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</si>
  <si>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</si>
  <si>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</si>
  <si>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</si>
  <si>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</si>
  <si>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</si>
  <si>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</si>
  <si>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</si>
  <si>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</si>
  <si>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</si>
  <si>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</si>
  <si>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</si>
  <si>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</si>
  <si>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</si>
  <si>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</si>
  <si>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</si>
  <si>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</si>
  <si>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</si>
  <si>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</si>
  <si>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</si>
  <si>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</si>
  <si>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</si>
  <si>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</si>
  <si>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</si>
  <si>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</si>
  <si>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</si>
  <si>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</si>
  <si>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</si>
  <si>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</si>
  <si>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</si>
  <si>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</si>
  <si>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</si>
  <si>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</si>
  <si>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</si>
  <si>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</si>
  <si>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</si>
  <si>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</si>
  <si>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</si>
  <si>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</si>
  <si>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</si>
  <si>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</si>
  <si>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</si>
  <si>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</si>
  <si>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</si>
  <si>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</si>
  <si>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</si>
  <si>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</si>
  <si>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</si>
  <si>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</si>
  <si>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</si>
  <si>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</si>
  <si>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</si>
  <si>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</si>
  <si>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</si>
  <si>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</si>
  <si>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</si>
  <si>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</si>
  <si>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</si>
  <si>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</si>
  <si>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</si>
  <si>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</si>
  <si>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</si>
  <si>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</si>
  <si>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</si>
  <si>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</si>
  <si>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</si>
  <si>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</si>
  <si>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</si>
  <si>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</si>
  <si>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</si>
  <si>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</si>
  <si>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</si>
  <si>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</si>
  <si>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</si>
  <si>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</si>
  <si>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</si>
  <si>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</si>
  <si>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</si>
  <si>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</si>
  <si>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</si>
  <si>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</si>
  <si>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</si>
  <si>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</si>
  <si>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</si>
  <si>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</si>
  <si>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</si>
  <si>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</si>
  <si>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</si>
  <si>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</si>
  <si>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</si>
  <si>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</si>
  <si>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</si>
  <si>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</si>
  <si>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</si>
  <si>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</si>
  <si>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</si>
  <si>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</si>
  <si>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</si>
  <si>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</si>
  <si>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</si>
  <si>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</si>
  <si>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</si>
  <si>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</si>
  <si>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</si>
  <si>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</si>
  <si>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</si>
  <si>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</si>
  <si>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</si>
  <si>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</si>
  <si>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</si>
  <si>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</si>
  <si>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</si>
  <si>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</si>
  <si>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</si>
  <si>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</si>
  <si>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</si>
  <si>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</si>
  <si>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</si>
  <si>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</si>
  <si>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</si>
  <si>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</si>
  <si>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</si>
  <si>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</si>
  <si>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</si>
  <si>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</si>
  <si>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</si>
  <si>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</si>
  <si>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</si>
  <si>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</si>
  <si>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</si>
  <si>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</si>
  <si>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</si>
  <si>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</si>
  <si>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</si>
  <si>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</si>
  <si>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</si>
  <si>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</si>
  <si>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</si>
  <si>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</si>
  <si>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</si>
  <si>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</si>
  <si>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</si>
  <si>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</si>
  <si>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</si>
  <si>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</si>
  <si>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</si>
  <si>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</si>
  <si>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</si>
  <si>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</si>
  <si>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</si>
  <si>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</si>
  <si>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</si>
  <si>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</si>
  <si>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</si>
  <si>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</si>
  <si>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</si>
  <si>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</si>
  <si>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</si>
  <si>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</si>
  <si>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</si>
  <si>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</si>
  <si>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</si>
  <si>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</si>
  <si>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</si>
  <si>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</si>
  <si>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</si>
  <si>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</si>
  <si>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</si>
  <si>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</si>
  <si>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</si>
  <si>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</si>
  <si>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</si>
  <si>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</si>
  <si>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</si>
  <si>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</si>
  <si>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</si>
  <si>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</si>
  <si>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</si>
  <si>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</si>
  <si>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</si>
  <si>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</si>
  <si>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</si>
  <si>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</si>
  <si>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</si>
  <si>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</si>
  <si>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</si>
  <si>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</si>
  <si>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</si>
  <si>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</si>
  <si>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</si>
  <si>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</si>
  <si>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</si>
  <si>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</si>
  <si>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</si>
  <si>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</si>
  <si>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</si>
  <si>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</si>
  <si>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</si>
  <si>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</si>
  <si>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</si>
  <si>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</si>
  <si>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</si>
  <si>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</si>
  <si>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</si>
  <si>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</si>
  <si>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</si>
  <si>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</si>
  <si>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</si>
  <si>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</si>
  <si>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</si>
  <si>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</si>
  <si>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</si>
  <si>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</si>
  <si>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</si>
  <si>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</si>
  <si>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</si>
  <si>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</si>
  <si>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</si>
  <si>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</si>
  <si>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</si>
  <si>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</si>
  <si>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</si>
  <si>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</si>
  <si>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</si>
  <si>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</si>
  <si>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</si>
  <si>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</si>
  <si>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</si>
  <si>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</si>
  <si>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</si>
  <si>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</si>
  <si>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</si>
  <si>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</si>
  <si>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</si>
  <si>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</si>
  <si>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</si>
  <si>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</si>
  <si>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</si>
  <si>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</si>
  <si>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</si>
  <si>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</si>
  <si>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</si>
  <si>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</si>
  <si>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</si>
  <si>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</si>
  <si>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</si>
  <si>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</si>
  <si>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</si>
  <si>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</si>
  <si>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</si>
  <si>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</si>
  <si>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</si>
  <si>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</si>
  <si>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</si>
  <si>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</si>
  <si>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</si>
  <si>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</si>
  <si>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</si>
  <si>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</si>
  <si>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</si>
  <si>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</si>
  <si>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</si>
  <si>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</si>
  <si>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</si>
  <si>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</si>
  <si>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</si>
  <si>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</si>
  <si>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</si>
  <si>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</si>
  <si>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</si>
  <si>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</si>
  <si>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</si>
  <si>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</si>
  <si>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</si>
  <si>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</si>
  <si>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</si>
  <si>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</si>
  <si>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</si>
  <si>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</si>
  <si>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</si>
  <si>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</si>
  <si>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</si>
  <si>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</si>
  <si>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</si>
  <si>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</si>
  <si>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</si>
  <si>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</si>
  <si>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</si>
  <si>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</si>
  <si>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</si>
  <si>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</si>
  <si>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</si>
  <si>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</si>
  <si>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</si>
  <si>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</si>
  <si>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</si>
  <si>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</si>
  <si>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</si>
  <si>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</si>
  <si>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</si>
  <si>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</si>
  <si>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</si>
  <si>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</si>
  <si>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</si>
  <si>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</si>
  <si>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</si>
  <si>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</si>
  <si>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</si>
  <si>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</si>
  <si>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</si>
  <si>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</si>
  <si>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</si>
  <si>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</si>
  <si>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</si>
  <si>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</si>
  <si>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</si>
  <si>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</si>
  <si>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</si>
  <si>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</si>
  <si>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</si>
  <si>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</si>
  <si>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</si>
  <si>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</si>
  <si>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</si>
  <si>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</si>
  <si>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</si>
  <si>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</si>
  <si>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</si>
  <si>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</si>
  <si>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</si>
  <si>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</si>
  <si>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</si>
  <si>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</si>
  <si>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</si>
  <si>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</si>
  <si>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</si>
  <si>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</si>
  <si>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</si>
  <si>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</si>
  <si>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</si>
  <si>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</si>
  <si>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</si>
  <si>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</si>
  <si>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</si>
  <si>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</si>
  <si>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</si>
  <si>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</si>
  <si>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</si>
  <si>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</si>
  <si>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</si>
  <si>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</si>
  <si>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</si>
  <si>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</si>
  <si>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</si>
  <si>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</si>
  <si>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</si>
  <si>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</si>
  <si>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</si>
  <si>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</si>
  <si>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</si>
  <si>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</si>
  <si>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</si>
  <si>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</si>
  <si>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</si>
  <si>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</si>
  <si>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</si>
  <si>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</si>
  <si>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</si>
  <si>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</si>
  <si>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</si>
  <si>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</si>
  <si>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</si>
  <si>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</si>
  <si>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</si>
  <si>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</si>
  <si>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</si>
  <si>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</si>
  <si>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</si>
  <si>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</si>
  <si>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</si>
  <si>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</si>
  <si>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</si>
  <si>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</si>
  <si>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</si>
  <si>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</si>
  <si>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</si>
  <si>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</si>
  <si>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</si>
  <si>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</si>
  <si>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</si>
  <si>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</si>
  <si>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</si>
  <si>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</si>
  <si>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</si>
  <si>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</si>
  <si>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</si>
  <si>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</si>
  <si>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</si>
  <si>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</si>
  <si>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</si>
  <si>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</si>
  <si>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</si>
  <si>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</si>
  <si>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</si>
  <si>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</si>
  <si>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</si>
  <si>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</si>
  <si>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</si>
  <si>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</si>
  <si>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</si>
  <si>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</si>
  <si>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</si>
  <si>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</si>
  <si>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</si>
  <si>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</si>
  <si>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</si>
  <si>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</si>
  <si>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</si>
  <si>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</si>
  <si>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</si>
  <si>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</si>
  <si>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</si>
  <si>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</si>
  <si>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</si>
  <si>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</si>
  <si>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</si>
  <si>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</si>
  <si>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</si>
  <si>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</si>
  <si>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</si>
  <si>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</si>
  <si>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</si>
  <si>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</si>
  <si>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</si>
  <si>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</si>
  <si>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</si>
  <si>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</si>
  <si>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</si>
  <si>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</si>
  <si>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</si>
  <si>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</si>
  <si>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</si>
  <si>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</si>
  <si>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</si>
  <si>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</si>
  <si>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</si>
  <si>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</si>
  <si>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</si>
  <si>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</si>
  <si>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</si>
  <si>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</si>
  <si>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</si>
  <si>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</si>
  <si>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</si>
  <si>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</si>
  <si>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</si>
  <si>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</si>
  <si>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</si>
  <si>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</si>
  <si>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</si>
  <si>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</si>
  <si>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</si>
  <si>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</si>
  <si>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</si>
  <si>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</si>
  <si>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</si>
  <si>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</si>
  <si>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</si>
  <si>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</si>
  <si>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</si>
  <si>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</si>
  <si>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</si>
  <si>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</si>
  <si>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</si>
  <si>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</si>
  <si>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</si>
  <si>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</si>
  <si>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</si>
  <si>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</si>
  <si>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</si>
  <si>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</si>
  <si>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</si>
  <si>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</si>
  <si>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</si>
  <si>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</si>
  <si>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</si>
  <si>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</si>
  <si>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</si>
  <si>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</si>
  <si>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</si>
  <si>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</si>
  <si>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</si>
  <si>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</si>
  <si>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</si>
  <si>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</si>
  <si>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</si>
  <si>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</si>
  <si>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</si>
  <si>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</si>
  <si>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</si>
  <si>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</si>
  <si>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</si>
  <si>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</si>
  <si>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</si>
  <si>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</si>
  <si>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</si>
  <si>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</si>
  <si>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</si>
  <si>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</si>
  <si>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</si>
  <si>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</si>
  <si>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</si>
  <si>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</si>
  <si>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</si>
  <si>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</si>
  <si>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</si>
  <si>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</si>
  <si>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</si>
  <si>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</si>
  <si>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</si>
  <si>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</si>
  <si>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</si>
  <si>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</si>
  <si>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</si>
  <si>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</si>
  <si>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</si>
  <si>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</si>
  <si>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</si>
  <si>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</si>
  <si>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</si>
  <si>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</si>
  <si>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</si>
  <si>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</si>
  <si>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</si>
  <si>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</si>
  <si>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</si>
  <si>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</si>
  <si>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</si>
  <si>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</si>
  <si>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</si>
  <si>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</si>
  <si>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</si>
  <si>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</si>
  <si>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</si>
  <si>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</si>
  <si>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</si>
  <si>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</si>
  <si>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</si>
  <si>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</si>
  <si>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</si>
  <si>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</si>
  <si>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</si>
  <si>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</si>
  <si>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</si>
  <si>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</si>
  <si>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</si>
  <si>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</si>
  <si>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</si>
  <si>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</si>
  <si>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</si>
  <si>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</si>
  <si>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</si>
  <si>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</si>
  <si>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</si>
  <si>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</si>
  <si>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</si>
  <si>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</si>
  <si>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</si>
  <si>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</si>
  <si>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</si>
  <si>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</si>
  <si>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</si>
  <si>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</si>
  <si>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</si>
  <si>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</si>
  <si>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</si>
  <si>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</si>
  <si>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</si>
  <si>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</si>
  <si>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</si>
  <si>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</si>
  <si>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</si>
  <si>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</si>
  <si>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</si>
  <si>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</si>
  <si>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</si>
  <si>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</si>
  <si>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</si>
  <si>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</si>
  <si>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</si>
  <si>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</si>
  <si>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</si>
  <si>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</si>
  <si>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</si>
  <si>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</si>
  <si>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</si>
  <si>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</si>
  <si>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</si>
  <si>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</si>
  <si>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</si>
  <si>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</si>
  <si>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</si>
  <si>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</si>
  <si>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</si>
  <si>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</si>
  <si>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</si>
  <si>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</si>
  <si>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</si>
  <si>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</si>
  <si>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</si>
  <si>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</si>
  <si>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</si>
  <si>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</si>
  <si>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</si>
  <si>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</si>
  <si>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</si>
  <si>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</si>
  <si>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</si>
  <si>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</si>
  <si>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</si>
  <si>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</si>
  <si>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</si>
  <si>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</si>
  <si>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</si>
  <si>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</si>
  <si>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</si>
  <si>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</si>
  <si>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</si>
  <si>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</si>
  <si>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</si>
  <si>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</si>
  <si>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</si>
  <si>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</si>
  <si>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</si>
  <si>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</si>
  <si>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</si>
  <si>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</si>
  <si>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</si>
  <si>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</si>
  <si>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</si>
  <si>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</si>
  <si>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</si>
  <si>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</si>
  <si>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</si>
  <si>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</si>
  <si>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</si>
  <si>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</si>
  <si>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</si>
  <si>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</si>
  <si>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</si>
  <si>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</si>
  <si>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</si>
  <si>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</si>
  <si>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</si>
  <si>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</si>
  <si>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</si>
  <si>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</si>
  <si>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</si>
  <si>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</si>
  <si>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</si>
  <si>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</si>
  <si>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</si>
  <si>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</si>
  <si>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</si>
  <si>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</si>
  <si>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</si>
  <si>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</si>
  <si>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</si>
  <si>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</si>
  <si>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</si>
  <si>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</si>
  <si>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</si>
  <si>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</si>
  <si>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</si>
  <si>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</si>
  <si>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</si>
  <si>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</si>
  <si>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</si>
  <si>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</si>
  <si>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</si>
  <si>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</si>
  <si>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</si>
  <si>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</si>
  <si>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</si>
  <si>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</si>
  <si>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</si>
  <si>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</si>
  <si>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</si>
  <si>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</si>
  <si>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</si>
  <si>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</si>
  <si>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</si>
  <si>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</si>
  <si>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</si>
  <si>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</si>
  <si>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</si>
  <si>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</si>
  <si>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</si>
  <si>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</si>
  <si>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</si>
  <si>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</si>
  <si>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</si>
  <si>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</si>
  <si>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</si>
  <si>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</si>
  <si>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</si>
  <si>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</si>
  <si>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</si>
  <si>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</si>
  <si>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</si>
  <si>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</si>
  <si>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</si>
  <si>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</si>
  <si>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</si>
  <si>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</si>
  <si>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</si>
  <si>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</si>
  <si>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</si>
  <si>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</si>
  <si>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</si>
  <si>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</si>
  <si>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</si>
  <si>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</si>
  <si>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</si>
  <si>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</si>
  <si>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</si>
  <si>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</si>
  <si>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</si>
  <si>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</si>
  <si>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</si>
  <si>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</si>
  <si>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</si>
  <si>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</si>
  <si>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</si>
  <si>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</si>
  <si>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</si>
  <si>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</si>
  <si>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</si>
  <si>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</si>
  <si>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</si>
  <si>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</si>
  <si>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</si>
  <si>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</si>
  <si>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</si>
  <si>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</si>
  <si>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</si>
  <si>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</si>
  <si>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</si>
  <si>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</si>
  <si>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</si>
  <si>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</si>
  <si>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</si>
  <si>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</si>
  <si>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</si>
  <si>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</si>
  <si>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</si>
  <si>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</si>
  <si>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</si>
  <si>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</si>
  <si>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</si>
  <si>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</si>
  <si>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</si>
  <si>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</si>
  <si>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</si>
  <si>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</si>
  <si>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</si>
  <si>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</si>
  <si>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</si>
  <si>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</si>
  <si>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</si>
  <si>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</si>
  <si>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</si>
  <si>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</si>
  <si>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</si>
  <si>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</si>
  <si>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</si>
  <si>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</si>
  <si>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</si>
  <si>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</si>
  <si>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</si>
  <si>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</si>
  <si>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</si>
  <si>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</si>
  <si>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</si>
  <si>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</si>
  <si>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</si>
  <si>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</si>
  <si>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</si>
  <si>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</si>
  <si>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</si>
  <si>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</si>
  <si>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</si>
  <si>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</si>
  <si>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</si>
  <si>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</si>
  <si>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</si>
  <si>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</si>
  <si>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</si>
  <si>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</si>
  <si>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</si>
  <si>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</si>
  <si>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</si>
  <si>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</si>
  <si>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</si>
  <si>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</si>
  <si>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</si>
  <si>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</si>
  <si>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</si>
  <si>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</si>
  <si>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</si>
  <si>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</si>
  <si>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</si>
  <si>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</si>
  <si>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</si>
  <si>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</si>
  <si>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</si>
  <si>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</si>
  <si>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</si>
  <si>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</si>
  <si>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</si>
  <si>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</si>
  <si>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</si>
  <si>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</si>
  <si>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</si>
  <si>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</si>
  <si>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</si>
  <si>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</si>
  <si>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</si>
  <si>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</si>
  <si>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</si>
  <si>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</si>
  <si>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</si>
  <si>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</si>
  <si>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</si>
  <si>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</si>
  <si>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</si>
  <si>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</si>
  <si>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</si>
  <si>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</si>
  <si>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</si>
  <si>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</si>
  <si>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</si>
  <si>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</si>
  <si>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</si>
  <si>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</si>
  <si>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</si>
  <si>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</si>
  <si>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</si>
  <si>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</si>
  <si>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</si>
  <si>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</si>
  <si>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</si>
  <si>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</si>
  <si>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</si>
  <si>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</si>
  <si>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</si>
  <si>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</si>
  <si>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</si>
  <si>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</si>
  <si>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</si>
  <si>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</si>
  <si>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</si>
  <si>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</si>
  <si>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</si>
  <si>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</si>
  <si>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</si>
  <si>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</si>
  <si>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</si>
  <si>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</si>
  <si>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</si>
  <si>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</si>
  <si>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</si>
  <si>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</si>
  <si>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</si>
  <si>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</si>
  <si>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</si>
  <si>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</si>
  <si>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</si>
  <si>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</si>
  <si>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</si>
  <si>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</si>
  <si>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</si>
  <si>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</si>
  <si>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</si>
  <si>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</si>
  <si>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</si>
  <si>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</si>
  <si>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</si>
  <si>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</si>
  <si>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</si>
  <si>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</si>
  <si>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</si>
  <si>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</si>
  <si>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</si>
  <si>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</si>
  <si>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</si>
  <si>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</si>
  <si>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</si>
  <si>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</si>
  <si>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</si>
  <si>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</si>
  <si>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</si>
  <si>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</si>
  <si>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</si>
  <si>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</si>
  <si>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</si>
  <si>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</si>
  <si>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</si>
  <si>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</si>
  <si>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</si>
  <si>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</si>
  <si>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</si>
  <si>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</si>
  <si>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</si>
  <si>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</si>
  <si>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</si>
  <si>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</si>
  <si>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</si>
  <si>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</si>
  <si>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</si>
  <si>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</si>
  <si>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</si>
  <si>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</si>
  <si>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</si>
  <si>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</si>
  <si>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</si>
  <si>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</si>
  <si>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</si>
  <si>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</si>
  <si>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</si>
  <si>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</si>
  <si>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</si>
  <si>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</si>
  <si>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</si>
  <si>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</si>
  <si>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</si>
  <si>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</si>
  <si>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</si>
  <si>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</si>
  <si>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</si>
  <si>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</si>
  <si>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</si>
  <si>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</si>
  <si>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</si>
  <si>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</si>
  <si>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</si>
  <si>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</si>
  <si>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</si>
  <si>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</si>
  <si>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</si>
  <si>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</si>
  <si>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</si>
  <si>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</si>
  <si>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</si>
  <si>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</si>
  <si>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</si>
  <si>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</si>
  <si>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</si>
  <si>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</si>
  <si>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</si>
  <si>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</si>
  <si>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</si>
  <si>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</si>
  <si>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</si>
  <si>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</si>
  <si>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</si>
  <si>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</si>
  <si>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</si>
  <si>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</si>
  <si>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</si>
  <si>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</si>
  <si>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</si>
  <si>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</si>
  <si>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</si>
  <si>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</si>
  <si>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</si>
  <si>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</si>
  <si>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</si>
  <si>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</si>
  <si>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</si>
  <si>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</si>
  <si>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</si>
  <si>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</si>
  <si>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</si>
  <si>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</si>
  <si>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</si>
  <si>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</si>
  <si>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</si>
  <si>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</si>
  <si>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</si>
  <si>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</si>
  <si>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</si>
  <si>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</si>
  <si>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</si>
  <si>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</si>
  <si>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</si>
  <si>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</si>
  <si>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</si>
  <si>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</si>
  <si>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</si>
  <si>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</si>
  <si>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</si>
  <si>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</si>
  <si>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</si>
  <si>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</si>
  <si>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</si>
  <si>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</si>
  <si>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</si>
  <si>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</si>
  <si>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</si>
  <si>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</si>
  <si>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</si>
  <si>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</si>
  <si>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</si>
  <si>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</si>
  <si>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</si>
  <si>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</si>
  <si>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</si>
  <si>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</si>
  <si>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</si>
  <si>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</si>
  <si>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</si>
  <si>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</si>
  <si>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</si>
  <si>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</si>
  <si>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</si>
  <si>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</si>
  <si>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</si>
  <si>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</si>
  <si>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</si>
  <si>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</si>
  <si>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</si>
  <si>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</si>
  <si>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</si>
  <si>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</si>
  <si>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</si>
  <si>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</si>
  <si>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</si>
  <si>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</si>
  <si>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</si>
  <si>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</si>
  <si>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</si>
  <si>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</si>
  <si>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</si>
  <si>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</si>
  <si>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</si>
  <si>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</si>
  <si>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</si>
  <si>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</si>
  <si>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</si>
  <si>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</si>
  <si>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</si>
  <si>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</si>
  <si>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</si>
  <si>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</si>
  <si>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</si>
  <si>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</si>
  <si>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</si>
  <si>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</si>
  <si>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</si>
  <si>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</si>
  <si>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</si>
  <si>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</si>
  <si>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</si>
  <si>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</si>
  <si>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</si>
  <si>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</si>
  <si>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</si>
  <si>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</si>
  <si>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</si>
  <si>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</si>
  <si>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</si>
  <si>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</si>
  <si>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</si>
  <si>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</si>
  <si>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</si>
  <si>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</si>
  <si>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</si>
  <si>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</si>
  <si>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</si>
  <si>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</si>
  <si>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</si>
  <si>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</si>
  <si>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</si>
  <si>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</si>
  <si>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</si>
  <si>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</si>
  <si>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</si>
  <si>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</si>
  <si>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</si>
  <si>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</si>
  <si>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</si>
  <si>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</si>
  <si>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</si>
  <si>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</si>
  <si>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</si>
  <si>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</si>
  <si>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</si>
  <si>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</si>
  <si>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</si>
  <si>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</si>
  <si>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</si>
  <si>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</si>
  <si>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</si>
  <si>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</si>
  <si>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</si>
  <si>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</si>
  <si>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</si>
  <si>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</si>
  <si>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</si>
  <si>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</si>
  <si>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</si>
  <si>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</si>
  <si>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</si>
  <si>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</si>
  <si>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</si>
  <si>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</si>
  <si>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</si>
  <si>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</si>
  <si>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</si>
  <si>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</si>
  <si>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</si>
  <si>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</si>
  <si>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</si>
  <si>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</si>
  <si>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</si>
  <si>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</si>
  <si>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</si>
  <si>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</si>
  <si>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</si>
  <si>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</si>
  <si>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</si>
  <si>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</si>
  <si>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</si>
  <si>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</si>
  <si>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</si>
  <si>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</si>
  <si>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</si>
  <si>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</si>
  <si>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</si>
  <si>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</si>
  <si>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</si>
  <si>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</si>
  <si>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</si>
  <si>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</si>
  <si>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</si>
  <si>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</si>
  <si>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</si>
  <si>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</si>
  <si>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</si>
  <si>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</si>
  <si>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</si>
  <si>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</si>
  <si>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</si>
  <si>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</si>
  <si>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</si>
  <si>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</si>
  <si>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</si>
  <si>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</si>
  <si>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</si>
  <si>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</si>
  <si>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</si>
  <si>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</si>
  <si>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</si>
  <si>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</si>
  <si>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</si>
  <si>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</si>
  <si>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</si>
  <si>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</si>
  <si>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</si>
  <si>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</si>
  <si>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</si>
  <si>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</si>
  <si>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</si>
  <si>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</si>
  <si>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</si>
  <si>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</si>
  <si>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</si>
  <si>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</si>
  <si>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</si>
  <si>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</si>
  <si>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</si>
  <si>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</si>
  <si>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</si>
  <si>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</si>
  <si>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</si>
  <si>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</si>
  <si>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</si>
  <si>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</si>
  <si>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</si>
  <si>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</si>
  <si>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</si>
  <si>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</si>
  <si>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</si>
  <si>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</si>
  <si>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</si>
  <si>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</si>
  <si>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</si>
  <si>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</si>
  <si>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</si>
  <si>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</si>
  <si>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</si>
  <si>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</si>
  <si>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</si>
  <si>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</si>
  <si>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</si>
  <si>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</si>
  <si>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</si>
  <si>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</si>
  <si>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</si>
  <si>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</si>
  <si>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</si>
  <si>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</si>
  <si>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</si>
  <si>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</si>
  <si>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</si>
  <si>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</si>
  <si>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</si>
  <si>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</si>
  <si>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</si>
  <si>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</si>
  <si>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</si>
  <si>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</si>
  <si>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</si>
  <si>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</si>
  <si>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</si>
  <si>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</si>
  <si>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</si>
  <si>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</si>
  <si>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</si>
  <si>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</si>
  <si>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</si>
  <si>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</si>
  <si>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</si>
  <si>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</si>
  <si>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</si>
  <si>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</si>
  <si>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</si>
  <si>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</si>
  <si>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</si>
  <si>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</si>
  <si>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</si>
  <si>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</si>
  <si>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</si>
  <si>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</si>
  <si>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</si>
  <si>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</si>
  <si>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</si>
  <si>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</si>
  <si>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</si>
  <si>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</si>
  <si>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</si>
  <si>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</si>
  <si>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</si>
  <si>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</si>
  <si>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</si>
  <si>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</si>
  <si>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</si>
  <si>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</si>
  <si>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</si>
  <si>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</si>
  <si>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</si>
  <si>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</si>
  <si>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</si>
  <si>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</si>
  <si>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</si>
  <si>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</si>
  <si>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</si>
  <si>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</si>
  <si>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</si>
  <si>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</si>
  <si>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</si>
  <si>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</si>
  <si>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</si>
  <si>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</si>
  <si>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</si>
  <si>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</si>
  <si>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</si>
  <si>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</si>
  <si>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</si>
  <si>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</si>
  <si>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</si>
  <si>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</si>
  <si>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</si>
  <si>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</si>
  <si>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</si>
  <si>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</si>
  <si>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</si>
  <si>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</si>
  <si>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</si>
  <si>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</si>
  <si>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</si>
  <si>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</si>
  <si>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</si>
  <si>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</si>
  <si>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</si>
  <si>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</si>
  <si>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</si>
  <si>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</si>
  <si>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</si>
  <si>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</si>
  <si>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</si>
  <si>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</si>
  <si>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</si>
  <si>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</si>
  <si>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</si>
  <si>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</si>
  <si>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</si>
  <si>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</si>
  <si>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</si>
  <si>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</si>
  <si>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</si>
  <si>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</si>
  <si>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</si>
  <si>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</si>
  <si>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</si>
  <si>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</si>
  <si>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</si>
  <si>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</si>
  <si>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</si>
  <si>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</si>
  <si>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</si>
  <si>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</si>
  <si>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</si>
  <si>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</si>
  <si>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</si>
  <si>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</si>
  <si>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</si>
  <si>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</si>
  <si>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</si>
  <si>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</si>
  <si>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</si>
  <si>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</si>
  <si>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</si>
  <si>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</si>
  <si>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</si>
  <si>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</si>
  <si>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</si>
  <si>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</si>
  <si>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</si>
  <si>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</si>
  <si>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</si>
  <si>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</si>
  <si>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</si>
  <si>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</si>
  <si>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</si>
  <si>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</si>
  <si>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</si>
  <si>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</si>
  <si>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</si>
  <si>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</si>
  <si>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</si>
  <si>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</si>
  <si>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</si>
  <si>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</si>
  <si>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</si>
  <si>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</si>
  <si>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</si>
  <si>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</si>
  <si>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</si>
  <si>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</si>
  <si>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</si>
  <si>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</si>
  <si>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</si>
  <si>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</si>
  <si>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</si>
  <si>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</si>
  <si>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</si>
  <si>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</si>
  <si>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</si>
  <si>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</si>
  <si>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</si>
  <si>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</si>
  <si>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</si>
  <si>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</si>
  <si>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</si>
  <si>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</si>
  <si>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</si>
  <si>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</si>
  <si>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</si>
  <si>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</si>
  <si>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</si>
  <si>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</si>
  <si>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</si>
  <si>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</si>
  <si>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</si>
  <si>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</si>
  <si>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</si>
  <si>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</si>
  <si>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</si>
  <si>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</si>
  <si>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</si>
  <si>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</si>
  <si>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</si>
  <si>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</si>
  <si>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</si>
  <si>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</si>
  <si>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</si>
  <si>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</si>
  <si>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</si>
  <si>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</si>
  <si>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</si>
  <si>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</si>
  <si>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</si>
  <si>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</si>
  <si>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</si>
  <si>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</si>
  <si>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</si>
  <si>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</si>
  <si>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</si>
  <si>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</si>
  <si>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</si>
  <si>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</si>
  <si>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</si>
  <si>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</si>
  <si>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</si>
  <si>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</si>
  <si>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</si>
  <si>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</si>
  <si>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</si>
  <si>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</si>
  <si>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</si>
  <si>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</si>
  <si>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</si>
  <si>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</si>
  <si>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</si>
  <si>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</si>
  <si>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</si>
  <si>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</si>
  <si>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</si>
  <si>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</si>
  <si>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</si>
  <si>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</si>
  <si>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</si>
  <si>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</si>
  <si>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</si>
  <si>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</si>
  <si>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</si>
  <si>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</si>
  <si>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</si>
  <si>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</si>
  <si>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</si>
  <si>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</si>
  <si>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</si>
  <si>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</si>
  <si>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</si>
  <si>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</si>
  <si>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</si>
  <si>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</si>
  <si>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</si>
  <si>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</si>
  <si>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</si>
  <si>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</si>
  <si>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</si>
  <si>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</si>
  <si>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</si>
  <si>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</si>
  <si>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</si>
  <si>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</si>
  <si>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</si>
  <si>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</si>
  <si>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</si>
  <si>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</si>
  <si>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</si>
  <si>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</si>
  <si>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</si>
  <si>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</si>
  <si>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</si>
  <si>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</si>
  <si>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</si>
  <si>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</si>
  <si>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</si>
  <si>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</si>
  <si>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</si>
  <si>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</si>
  <si>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</si>
  <si>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</si>
  <si>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</si>
  <si>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</si>
  <si>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</si>
  <si>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</si>
  <si>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</si>
  <si>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</si>
  <si>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</si>
  <si>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</si>
  <si>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</si>
  <si>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</si>
  <si>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</si>
  <si>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</si>
  <si>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</si>
  <si>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</si>
  <si>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</si>
  <si>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</si>
  <si>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</si>
  <si>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</si>
  <si>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</si>
  <si>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</si>
  <si>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</si>
  <si>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</si>
  <si>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</si>
  <si>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</si>
  <si>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</si>
  <si>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</si>
  <si>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</si>
  <si>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</si>
  <si>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</si>
  <si>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</si>
  <si>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</si>
  <si>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</si>
  <si>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</si>
  <si>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</si>
  <si>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</si>
  <si>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</si>
  <si>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</si>
  <si>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</si>
  <si>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</si>
  <si>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</si>
  <si>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</si>
  <si>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</si>
  <si>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</si>
  <si>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</si>
  <si>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</si>
  <si>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</si>
  <si>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</si>
  <si>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</si>
  <si>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</si>
  <si>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</si>
  <si>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</si>
  <si>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</si>
  <si>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</si>
  <si>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</si>
  <si>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</si>
  <si>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</si>
  <si>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</si>
  <si>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</si>
  <si>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</si>
  <si>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</si>
  <si>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</si>
  <si>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</si>
  <si>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</si>
  <si>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</si>
  <si>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</si>
  <si>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</si>
  <si>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</si>
  <si>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</si>
  <si>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</si>
  <si>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</si>
  <si>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</si>
  <si>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</si>
  <si>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</si>
  <si>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</si>
  <si>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</si>
  <si>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</si>
  <si>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</si>
  <si>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</si>
  <si>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</si>
  <si>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</si>
  <si>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</si>
  <si>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</si>
  <si>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</si>
  <si>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</si>
  <si>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</si>
  <si>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</si>
  <si>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</si>
  <si>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</si>
  <si>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</si>
  <si>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</si>
  <si>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</si>
  <si>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</si>
  <si>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</si>
  <si>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</si>
  <si>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</si>
  <si>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</si>
  <si>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</si>
  <si>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</si>
  <si>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</si>
  <si>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</si>
  <si>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</si>
  <si>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</si>
  <si>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</si>
  <si>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</si>
  <si>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</si>
  <si>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</si>
  <si>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</si>
  <si>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</si>
  <si>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</si>
  <si>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</si>
  <si>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</si>
  <si>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</si>
  <si>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</si>
  <si>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</si>
  <si>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</si>
  <si>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</si>
  <si>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</si>
  <si>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</si>
  <si>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</si>
  <si>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</si>
  <si>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</si>
  <si>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</si>
  <si>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</si>
  <si>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</si>
  <si>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</si>
  <si>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</si>
  <si>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</si>
  <si>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</si>
  <si>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</si>
  <si>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</si>
  <si>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</si>
  <si>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</si>
  <si>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</si>
  <si>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</si>
  <si>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</si>
  <si>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</si>
  <si>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</si>
  <si>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</si>
  <si>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</si>
  <si>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</si>
  <si>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</si>
  <si>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</si>
  <si>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</si>
  <si>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</si>
  <si>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</si>
  <si>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</si>
  <si>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</si>
  <si>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</si>
  <si>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</si>
  <si>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</si>
  <si>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</si>
  <si>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</si>
  <si>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</si>
  <si>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</si>
  <si>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</si>
  <si>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</si>
  <si>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</si>
  <si>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</si>
  <si>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</si>
  <si>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</si>
  <si>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</si>
  <si>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</si>
  <si>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</si>
  <si>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</si>
  <si>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</si>
  <si>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</si>
  <si>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</si>
  <si>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</si>
  <si>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</si>
  <si>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</si>
  <si>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</si>
  <si>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</si>
  <si>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</si>
  <si>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</si>
  <si>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</si>
  <si>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</si>
  <si>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</si>
  <si>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</si>
  <si>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</si>
  <si>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</si>
  <si>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</si>
  <si>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</si>
  <si>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</si>
  <si>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</si>
  <si>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</si>
  <si>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</si>
  <si>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</si>
  <si>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</si>
  <si>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</si>
  <si>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</si>
  <si>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</si>
  <si>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</si>
  <si>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</si>
  <si>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</si>
  <si>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</si>
  <si>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</si>
  <si>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</si>
  <si>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</si>
  <si>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</si>
  <si>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</si>
  <si>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</si>
  <si>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</si>
  <si>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</si>
  <si>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</si>
  <si>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</si>
  <si>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</si>
  <si>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</si>
  <si>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</si>
  <si>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</si>
  <si>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</si>
  <si>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</si>
  <si>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</si>
  <si>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</si>
  <si>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</si>
  <si>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</si>
  <si>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</si>
  <si>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</si>
  <si>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</si>
  <si>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</si>
  <si>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</si>
  <si>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</si>
  <si>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</si>
  <si>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</si>
  <si>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</si>
  <si>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</si>
  <si>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</si>
  <si>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</si>
  <si>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</si>
  <si>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</si>
  <si>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</si>
  <si>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</si>
  <si>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</si>
  <si>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</si>
  <si>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</si>
  <si>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</si>
  <si>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</si>
  <si>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</si>
  <si>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</si>
  <si>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</si>
  <si>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</si>
  <si>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</si>
  <si>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</si>
  <si>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</si>
  <si>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</si>
  <si>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</si>
  <si>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</si>
  <si>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</si>
  <si>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</si>
  <si>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</si>
  <si>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</si>
  <si>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</si>
  <si>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</si>
  <si>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</si>
  <si>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</si>
  <si>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</si>
  <si>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</si>
  <si>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</si>
  <si>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</si>
  <si>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</si>
  <si>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</si>
  <si>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</si>
  <si>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</si>
  <si>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</si>
  <si>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</si>
  <si>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</si>
  <si>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</si>
  <si>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</si>
  <si>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</si>
  <si>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</si>
  <si>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</si>
  <si>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</si>
  <si>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</si>
  <si>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</si>
  <si>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</si>
  <si>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</si>
  <si>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</si>
  <si>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</si>
  <si>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</si>
  <si>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</si>
  <si>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</si>
  <si>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</si>
  <si>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</si>
  <si>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</si>
  <si>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</si>
  <si>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</si>
  <si>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</si>
  <si>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</si>
  <si>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</si>
  <si>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</si>
  <si>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</si>
  <si>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</si>
  <si>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</si>
  <si>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</si>
  <si>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</si>
  <si>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</si>
  <si>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</si>
  <si>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</si>
  <si>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</si>
  <si>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</si>
  <si>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</si>
  <si>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</si>
  <si>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</si>
  <si>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</si>
  <si>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</si>
  <si>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</si>
  <si>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</si>
  <si>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</si>
  <si>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</si>
  <si>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</si>
  <si>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</si>
  <si>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</si>
  <si>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</si>
  <si>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</si>
  <si>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</si>
  <si>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</si>
  <si>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</si>
  <si>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</si>
  <si>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</si>
  <si>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</si>
  <si>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</si>
  <si>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</si>
  <si>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</si>
  <si>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</si>
  <si>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</si>
  <si>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</si>
  <si>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</si>
  <si>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</si>
  <si>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</si>
  <si>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</si>
  <si>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</si>
  <si>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</si>
  <si>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</si>
  <si>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</si>
  <si>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</si>
  <si>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</si>
  <si>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</si>
  <si>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</si>
  <si>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</si>
  <si>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</si>
  <si>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</si>
  <si>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</si>
  <si>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</si>
  <si>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</si>
  <si>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</si>
  <si>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</si>
  <si>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</si>
  <si>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</si>
  <si>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</si>
  <si>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</si>
  <si>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</si>
  <si>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</si>
  <si>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</si>
  <si>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</si>
  <si>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</si>
  <si>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</si>
  <si>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</si>
  <si>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</si>
  <si>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</si>
  <si>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</si>
  <si>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</si>
  <si>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</si>
  <si>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</si>
  <si>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</si>
  <si>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</si>
  <si>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</si>
  <si>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</si>
  <si>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</si>
  <si>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</si>
  <si>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</si>
  <si>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</si>
  <si>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</si>
  <si>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</si>
  <si>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</si>
  <si>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</si>
  <si>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</si>
  <si>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</si>
  <si>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</si>
  <si>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</si>
  <si>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</si>
  <si>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</si>
  <si>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</si>
  <si>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</si>
  <si>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</si>
  <si>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</si>
  <si>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</si>
  <si>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</si>
  <si>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</si>
  <si>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</si>
  <si>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</si>
  <si>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</si>
  <si>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</si>
  <si>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</si>
  <si>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</si>
  <si>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</si>
  <si>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</si>
  <si>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</si>
  <si>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</si>
  <si>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</si>
  <si>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</si>
  <si>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</si>
  <si>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</si>
  <si>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</si>
  <si>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</si>
  <si>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</si>
  <si>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</si>
  <si>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</si>
  <si>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</si>
  <si>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</si>
  <si>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</si>
  <si>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</si>
  <si>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</si>
  <si>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</si>
  <si>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</si>
  <si>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</si>
  <si>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</si>
  <si>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</si>
  <si>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</si>
  <si>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</si>
  <si>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</si>
  <si>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</si>
  <si>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</si>
  <si>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</si>
  <si>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</si>
  <si>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</si>
  <si>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</si>
  <si>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</si>
  <si>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</si>
  <si>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</si>
  <si>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</si>
  <si>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</si>
  <si>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</si>
  <si>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</si>
  <si>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</si>
  <si>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</si>
  <si>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</si>
  <si>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</si>
  <si>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</si>
  <si>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</si>
  <si>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</si>
  <si>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</si>
  <si>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</si>
  <si>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</si>
  <si>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</si>
  <si>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</si>
  <si>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</si>
  <si>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</si>
  <si>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</si>
  <si>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</si>
  <si>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</si>
  <si>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</si>
  <si>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</si>
  <si>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</si>
  <si>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</si>
  <si>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</si>
  <si>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</si>
  <si>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</si>
  <si>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</si>
  <si>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</si>
  <si>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</si>
  <si>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</si>
  <si>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</si>
  <si>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</si>
  <si>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</si>
  <si>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</si>
  <si>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</si>
  <si>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</si>
  <si>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</si>
  <si>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</si>
  <si>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</si>
  <si>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</si>
  <si>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</si>
  <si>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</si>
  <si>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</si>
  <si>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</si>
  <si>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</si>
  <si>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</si>
  <si>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</si>
  <si>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</si>
  <si>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</si>
  <si>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</si>
  <si>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</si>
  <si>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</si>
  <si>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</si>
  <si>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</si>
  <si>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</si>
  <si>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</si>
  <si>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</si>
  <si>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</si>
  <si>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</si>
  <si>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</si>
  <si>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</si>
  <si>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</si>
  <si>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</si>
  <si>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</si>
  <si>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</si>
  <si>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</si>
  <si>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</si>
  <si>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</si>
  <si>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</si>
  <si>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</si>
  <si>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</si>
  <si>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</si>
  <si>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</si>
  <si>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</si>
  <si>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</si>
  <si>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</si>
  <si>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</si>
  <si>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</si>
  <si>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</si>
  <si>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</si>
  <si>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</si>
  <si>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</si>
  <si>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</si>
  <si>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</si>
  <si>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</si>
  <si>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</si>
  <si>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</si>
  <si>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</si>
  <si>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</si>
  <si>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</si>
  <si>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</si>
  <si>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</si>
  <si>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</si>
  <si>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</si>
  <si>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</si>
  <si>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</si>
  <si>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</si>
  <si>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</si>
  <si>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</si>
  <si>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</si>
  <si>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</si>
  <si>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</si>
  <si>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</si>
  <si>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</si>
  <si>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</si>
  <si>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</si>
  <si>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</si>
  <si>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</si>
  <si>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</si>
  <si>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</si>
  <si>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</si>
  <si>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</si>
  <si>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</si>
  <si>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</si>
  <si>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</si>
  <si>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</si>
  <si>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</si>
  <si>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</si>
  <si>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</si>
  <si>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</si>
  <si>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</si>
  <si>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</si>
  <si>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</si>
  <si>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</si>
  <si>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</si>
  <si>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</si>
  <si>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</si>
  <si>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</si>
  <si>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</si>
  <si>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</si>
  <si>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</si>
  <si>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</si>
  <si>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</si>
  <si>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</si>
  <si>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</si>
  <si>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</si>
  <si>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</si>
  <si>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</si>
  <si>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</si>
  <si>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</si>
  <si>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</si>
  <si>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</si>
  <si>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</si>
  <si>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</si>
  <si>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</si>
  <si>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</si>
  <si>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</si>
  <si>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</si>
  <si>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</si>
  <si>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</si>
  <si>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</si>
  <si>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</si>
  <si>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</si>
  <si>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</si>
  <si>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</si>
  <si>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</si>
  <si>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</si>
  <si>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</si>
  <si>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</si>
  <si>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</si>
  <si>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</si>
  <si>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</si>
  <si>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</si>
  <si>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</si>
  <si>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</si>
  <si>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</si>
  <si>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</si>
  <si>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</si>
  <si>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</si>
  <si>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</si>
  <si>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</si>
  <si>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</si>
  <si>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</si>
  <si>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</si>
  <si>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</si>
  <si>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</si>
  <si>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</si>
  <si>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</si>
  <si>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</si>
  <si>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</si>
  <si>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</si>
  <si>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</si>
  <si>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</si>
  <si>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</si>
  <si>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</si>
  <si>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</si>
  <si>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</si>
  <si>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</si>
  <si>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</si>
  <si>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</si>
  <si>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</si>
  <si>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</si>
  <si>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</si>
  <si>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</si>
  <si>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</si>
  <si>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</si>
  <si>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</si>
  <si>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</si>
  <si>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</si>
  <si>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</si>
  <si>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</si>
  <si>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</si>
  <si>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</si>
  <si>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</si>
  <si>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</si>
  <si>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</si>
  <si>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</si>
  <si>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</si>
  <si>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</si>
  <si>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</si>
  <si>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</si>
  <si>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</si>
  <si>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</si>
  <si>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</si>
  <si>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</si>
  <si>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</si>
  <si>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</si>
  <si>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</si>
  <si>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</si>
  <si>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</si>
  <si>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</si>
  <si>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</si>
  <si>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</si>
  <si>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</si>
  <si>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</si>
  <si>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</si>
  <si>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</si>
  <si>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</si>
  <si>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</si>
  <si>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</si>
  <si>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</si>
  <si>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</si>
  <si>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</si>
  <si>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</si>
  <si>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</si>
  <si>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</si>
  <si>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</si>
  <si>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</si>
  <si>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</si>
  <si>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</si>
  <si>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</si>
  <si>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</si>
  <si>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</si>
  <si>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</si>
  <si>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</si>
  <si>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</si>
  <si>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</si>
  <si>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</si>
  <si>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</si>
  <si>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</si>
  <si>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</si>
  <si>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</si>
  <si>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</si>
  <si>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</si>
  <si>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</si>
  <si>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</si>
  <si>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</si>
  <si>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</si>
  <si>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</si>
  <si>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</si>
  <si>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</si>
  <si>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</si>
  <si>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</si>
  <si>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</si>
  <si>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</si>
  <si>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</si>
  <si>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</si>
  <si>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</si>
  <si>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</si>
  <si>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</si>
  <si>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</si>
  <si>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</si>
  <si>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</si>
  <si>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</si>
  <si>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</si>
  <si>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</si>
  <si>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</si>
  <si>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</si>
  <si>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</si>
  <si>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</si>
  <si>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</si>
  <si>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</si>
  <si>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</si>
  <si>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</si>
  <si>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</si>
  <si>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</si>
  <si>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</si>
  <si>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</si>
  <si>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</si>
  <si>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</si>
  <si>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</si>
  <si>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</si>
  <si>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</si>
  <si>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</si>
  <si>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</si>
  <si>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</si>
  <si>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</si>
  <si>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</si>
  <si>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</si>
  <si>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</si>
  <si>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</si>
  <si>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</si>
  <si>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</si>
  <si>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</si>
  <si>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</si>
  <si>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</si>
  <si>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</si>
  <si>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</si>
  <si>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</si>
  <si>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</si>
  <si>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</si>
  <si>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</si>
  <si>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</si>
  <si>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</si>
  <si>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</si>
  <si>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</si>
  <si>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</si>
  <si>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</si>
  <si>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</si>
  <si>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</si>
  <si>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</si>
  <si>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</si>
  <si>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</si>
  <si>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</si>
  <si>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</si>
  <si>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</si>
  <si>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</si>
  <si>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</si>
  <si>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</si>
  <si>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</si>
  <si>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</si>
  <si>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</si>
  <si>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</si>
  <si>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</si>
  <si>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</si>
  <si>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</si>
  <si>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</si>
  <si>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</si>
  <si>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</si>
  <si>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</si>
  <si>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</si>
  <si>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</si>
  <si>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</si>
  <si>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</si>
  <si>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</si>
  <si>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</si>
  <si>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</si>
  <si>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</si>
  <si>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</si>
  <si>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</si>
  <si>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</si>
  <si>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</si>
  <si>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</si>
  <si>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</si>
  <si>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</si>
  <si>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</si>
  <si>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</si>
  <si>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</si>
  <si>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</si>
  <si>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</si>
  <si>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</si>
  <si>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</si>
  <si>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</si>
  <si>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</si>
  <si>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</si>
  <si>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</si>
  <si>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</si>
  <si>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</si>
  <si>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</si>
  <si>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</si>
  <si>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</si>
  <si>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</si>
  <si>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</si>
  <si>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</si>
  <si>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</si>
  <si>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</si>
  <si>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</si>
  <si>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</si>
  <si>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</si>
  <si>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</si>
  <si>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</si>
  <si>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</si>
  <si>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</si>
  <si>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</si>
  <si>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</si>
  <si>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</si>
  <si>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</si>
  <si>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</si>
  <si>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</si>
  <si>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</si>
  <si>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</si>
  <si>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</si>
  <si>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</si>
  <si>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</si>
  <si>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</si>
  <si>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</si>
  <si>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</si>
  <si>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</si>
  <si>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</si>
  <si>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</si>
  <si>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</si>
  <si>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</si>
  <si>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</si>
  <si>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</si>
  <si>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</si>
  <si>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</si>
  <si>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</si>
  <si>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</si>
  <si>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</si>
  <si>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</si>
  <si>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</si>
  <si>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</si>
  <si>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</si>
  <si>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</si>
  <si>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</si>
  <si>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</si>
  <si>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</si>
  <si>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</si>
  <si>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</si>
  <si>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</si>
  <si>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</si>
  <si>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</si>
  <si>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</si>
  <si>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</si>
  <si>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</si>
  <si>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</si>
  <si>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</si>
  <si>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</si>
  <si>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</si>
  <si>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</si>
  <si>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</si>
  <si>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</si>
  <si>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</si>
  <si>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</si>
  <si>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</si>
  <si>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</si>
  <si>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</si>
  <si>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</si>
  <si>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</si>
  <si>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</si>
  <si>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</si>
  <si>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</si>
  <si>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</si>
  <si>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</si>
  <si>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</si>
  <si>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</si>
  <si>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</si>
  <si>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</si>
  <si>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</si>
  <si>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</si>
  <si>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</si>
  <si>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</si>
  <si>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</si>
  <si>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</si>
  <si>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</si>
  <si>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</si>
  <si>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</si>
  <si>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</si>
  <si>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</si>
  <si>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</si>
  <si>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</si>
  <si>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</si>
  <si>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</si>
  <si>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</si>
  <si>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</si>
  <si>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</si>
  <si>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</si>
  <si>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</si>
  <si>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</si>
  <si>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</si>
  <si>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</si>
  <si>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</si>
  <si>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</si>
  <si>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</si>
  <si>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</si>
  <si>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</si>
  <si>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</si>
  <si>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</si>
  <si>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</si>
  <si>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</si>
  <si>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</si>
  <si>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</si>
  <si>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</si>
  <si>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</si>
  <si>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</si>
  <si>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</si>
  <si>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</si>
  <si>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</si>
  <si>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</si>
  <si>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</si>
  <si>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</si>
  <si>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</si>
  <si>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</si>
  <si>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</si>
  <si>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</si>
  <si>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</si>
  <si>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</si>
  <si>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</si>
  <si>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</si>
  <si>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</si>
  <si>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</si>
  <si>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</si>
  <si>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</si>
  <si>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</si>
  <si>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</si>
  <si>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</si>
  <si>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</si>
  <si>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</si>
  <si>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</si>
  <si>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</si>
  <si>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</si>
  <si>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</si>
  <si>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</si>
  <si>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</si>
  <si>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</si>
  <si>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</si>
  <si>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</si>
  <si>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</si>
  <si>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</si>
  <si>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</si>
  <si>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</si>
  <si>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</si>
  <si>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</si>
  <si>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</si>
  <si>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</si>
  <si>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</si>
  <si>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</si>
  <si>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</si>
  <si>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</si>
  <si>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</si>
  <si>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</si>
  <si>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</si>
  <si>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</si>
  <si>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</si>
  <si>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</si>
  <si>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</si>
  <si>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</si>
  <si>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</si>
  <si>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</si>
  <si>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</si>
  <si>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</si>
  <si>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</si>
  <si>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</si>
  <si>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</si>
  <si>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</si>
  <si>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</si>
  <si>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</si>
  <si>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</si>
  <si>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</si>
  <si>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</si>
  <si>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</si>
  <si>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</si>
  <si>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</si>
  <si>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</si>
  <si>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</si>
  <si>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</si>
  <si>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</si>
  <si>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</si>
  <si>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</si>
  <si>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</si>
  <si>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</si>
  <si>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</si>
  <si>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</si>
  <si>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</si>
  <si>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</si>
  <si>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</si>
  <si>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</si>
  <si>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</si>
  <si>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</si>
  <si>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</si>
  <si>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</si>
  <si>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</si>
  <si>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</si>
  <si>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</si>
  <si>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</si>
  <si>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</si>
  <si>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</si>
  <si>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</si>
  <si>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</si>
  <si>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</si>
  <si>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</si>
  <si>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</si>
  <si>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</si>
  <si>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</si>
  <si>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</si>
  <si>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</si>
  <si>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</si>
  <si>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</si>
  <si>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</si>
  <si>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</si>
  <si>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</si>
  <si>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</si>
  <si>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</si>
  <si>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</si>
  <si>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</si>
  <si>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</si>
  <si>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</si>
  <si>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</si>
  <si>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</si>
  <si>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</si>
  <si>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</si>
  <si>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</si>
  <si>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</si>
  <si>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</si>
  <si>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</si>
  <si>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</si>
  <si>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</si>
  <si>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</si>
  <si>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</si>
  <si>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</si>
  <si>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</si>
  <si>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</si>
  <si>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</si>
  <si>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</si>
  <si>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</si>
  <si>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</si>
  <si>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</si>
  <si>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</si>
  <si>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</si>
  <si>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</si>
  <si>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</si>
  <si>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</si>
  <si>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</si>
  <si>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</si>
  <si>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</si>
  <si>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</si>
  <si>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</si>
  <si>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</si>
  <si>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</si>
  <si>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</si>
  <si>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</si>
  <si>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</si>
  <si>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</si>
  <si>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</si>
  <si>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</si>
  <si>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</si>
  <si>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</si>
  <si>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</si>
  <si>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</si>
  <si>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</si>
  <si>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</si>
  <si>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</si>
  <si>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</si>
  <si>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</si>
  <si>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</si>
  <si>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</si>
  <si>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</si>
  <si>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</si>
  <si>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</si>
  <si>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</si>
  <si>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</si>
  <si>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</si>
  <si>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</si>
  <si>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</si>
  <si>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</si>
  <si>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</si>
  <si>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</si>
  <si>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</si>
  <si>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</si>
  <si>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</si>
  <si>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</si>
  <si>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</si>
  <si>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</si>
  <si>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</si>
  <si>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</si>
  <si>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</si>
  <si>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</si>
  <si>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</si>
  <si>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</si>
  <si>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</si>
  <si>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</si>
  <si>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</si>
  <si>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</si>
  <si>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</si>
  <si>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</si>
  <si>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</si>
  <si>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</si>
  <si>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</si>
  <si>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</si>
  <si>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</si>
  <si>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</si>
  <si>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</si>
  <si>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</si>
  <si>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</si>
  <si>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</si>
  <si>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</si>
  <si>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</si>
  <si>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</si>
  <si>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</si>
  <si>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</si>
  <si>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</si>
  <si>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</si>
  <si>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</si>
  <si>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</si>
  <si>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</si>
  <si>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</si>
  <si>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</si>
  <si>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</si>
  <si>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</si>
  <si>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</si>
  <si>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</si>
  <si>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</si>
  <si>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</si>
  <si>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</si>
  <si>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</si>
  <si>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</si>
  <si>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</si>
  <si>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</si>
  <si>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</si>
  <si>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</si>
  <si>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</si>
  <si>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</si>
  <si>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</si>
  <si>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</si>
  <si>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</si>
  <si>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</si>
  <si>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</si>
  <si>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</si>
  <si>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</si>
  <si>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</si>
  <si>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</si>
  <si>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</si>
  <si>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</si>
  <si>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</si>
  <si>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</si>
  <si>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</si>
  <si>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</si>
  <si>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</si>
  <si>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</si>
  <si>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</si>
  <si>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</si>
  <si>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</si>
  <si>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</si>
  <si>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</si>
  <si>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</si>
  <si>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</si>
  <si>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</si>
  <si>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</si>
  <si>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</si>
  <si>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</si>
  <si>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</si>
  <si>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</si>
  <si>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</si>
  <si>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</si>
  <si>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</si>
  <si>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</si>
  <si>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</si>
  <si>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</si>
  <si>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</si>
  <si>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</si>
  <si>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</si>
  <si>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</si>
  <si>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</si>
  <si>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</si>
  <si>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</si>
  <si>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</si>
  <si>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</si>
  <si>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</si>
  <si>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</si>
  <si>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</si>
  <si>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</si>
  <si>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</si>
  <si>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</si>
  <si>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</si>
  <si>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</si>
  <si>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</si>
  <si>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</si>
  <si>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</si>
  <si>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</si>
  <si>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</si>
  <si>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</si>
  <si>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</si>
  <si>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</si>
  <si>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</si>
  <si>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</si>
  <si>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</si>
  <si>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</si>
  <si>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</si>
  <si>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</si>
  <si>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</si>
  <si>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</si>
  <si>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</si>
  <si>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</si>
  <si>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</si>
  <si>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</si>
  <si>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</si>
  <si>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</si>
  <si>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</si>
  <si>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</si>
  <si>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</si>
  <si>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</si>
  <si>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</si>
  <si>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</si>
  <si>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</si>
  <si>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</si>
  <si>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</si>
  <si>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</si>
  <si>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</si>
  <si>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</si>
  <si>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</si>
  <si>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</si>
  <si>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</si>
  <si>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</si>
  <si>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</si>
  <si>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</si>
  <si>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</si>
  <si>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</si>
  <si>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</si>
  <si>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</si>
  <si>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</si>
  <si>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</si>
  <si>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</si>
  <si>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</si>
  <si>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</si>
  <si>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</si>
  <si>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</si>
  <si>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</si>
  <si>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</si>
  <si>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</si>
  <si>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</si>
  <si>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</si>
  <si>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</si>
  <si>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</si>
  <si>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</si>
  <si>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</si>
  <si>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</si>
  <si>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</si>
  <si>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</si>
  <si>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</si>
  <si>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</si>
  <si>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</si>
  <si>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</si>
  <si>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</si>
  <si>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</si>
  <si>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</si>
  <si>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</si>
  <si>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</si>
  <si>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</si>
  <si>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</si>
  <si>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</si>
  <si>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</si>
  <si>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</si>
  <si>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</si>
  <si>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</si>
  <si>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</si>
  <si>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</si>
  <si>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</si>
  <si>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</si>
  <si>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</si>
  <si>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</si>
  <si>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</si>
  <si>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</si>
  <si>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</si>
  <si>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</si>
  <si>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</si>
  <si>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</si>
  <si>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</si>
  <si>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</si>
  <si>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</si>
  <si>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</si>
  <si>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</si>
  <si>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</si>
  <si>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</si>
  <si>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</si>
  <si>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</si>
  <si>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</si>
  <si>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</si>
  <si>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</si>
  <si>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</si>
  <si>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</si>
  <si>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</si>
  <si>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</si>
  <si>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</si>
  <si>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</si>
  <si>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</si>
  <si>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</si>
  <si>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</si>
  <si>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</si>
  <si>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</si>
  <si>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</si>
  <si>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</si>
  <si>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</si>
  <si>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</si>
  <si>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</si>
  <si>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</si>
  <si>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</si>
  <si>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</si>
  <si>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</si>
  <si>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</si>
  <si>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</si>
  <si>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</si>
  <si>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</si>
  <si>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</si>
  <si>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</si>
  <si>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</si>
  <si>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</si>
  <si>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</si>
  <si>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</si>
  <si>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</si>
  <si>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</si>
  <si>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</si>
  <si>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</si>
  <si>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</si>
  <si>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</si>
  <si>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</si>
  <si>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</si>
  <si>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</si>
  <si>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</si>
  <si>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</si>
  <si>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</si>
  <si>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</si>
  <si>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</si>
  <si>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</si>
  <si>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</si>
  <si>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</si>
  <si>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</si>
  <si>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</si>
  <si>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</si>
  <si>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</si>
  <si>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</si>
  <si>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</si>
  <si>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</si>
  <si>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</si>
  <si>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</si>
  <si>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</si>
  <si>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</si>
  <si>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</si>
  <si>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</si>
  <si>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</si>
  <si>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</si>
  <si>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</si>
  <si>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</si>
  <si>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</si>
  <si>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</si>
  <si>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</si>
  <si>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</si>
  <si>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</si>
  <si>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</si>
  <si>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</si>
  <si>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</si>
  <si>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</si>
  <si>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</si>
  <si>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</si>
  <si>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</si>
  <si>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</si>
  <si>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</si>
  <si>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</si>
  <si>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</si>
  <si>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</si>
  <si>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</si>
  <si>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</si>
  <si>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</si>
  <si>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</si>
  <si>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</si>
  <si>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</si>
  <si>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</si>
  <si>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</si>
  <si>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</si>
  <si>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</si>
  <si>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</si>
  <si>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</si>
  <si>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</si>
  <si>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</si>
  <si>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</si>
  <si>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</si>
  <si>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</si>
  <si>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</si>
  <si>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</si>
  <si>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</si>
  <si>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</si>
  <si>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</si>
  <si>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</si>
  <si>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</si>
  <si>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</si>
  <si>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</si>
  <si>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</si>
  <si>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</si>
  <si>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</si>
  <si>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</si>
  <si>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</si>
  <si>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</si>
  <si>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</si>
  <si>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</si>
  <si>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</si>
  <si>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</si>
  <si>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</si>
  <si>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</si>
  <si>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</si>
  <si>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</si>
  <si>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</si>
  <si>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</si>
  <si>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</si>
  <si>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</si>
  <si>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</si>
  <si>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</si>
  <si>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</si>
  <si>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</si>
  <si>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</si>
  <si>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</si>
  <si>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</si>
  <si>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</si>
  <si>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</si>
  <si>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</si>
  <si>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</si>
  <si>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</si>
  <si>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</si>
  <si>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</si>
  <si>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</si>
  <si>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</si>
  <si>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</si>
  <si>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</si>
  <si>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</si>
  <si>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</si>
  <si>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</si>
  <si>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</si>
  <si>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</si>
  <si>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</si>
  <si>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</si>
  <si>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</si>
  <si>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</si>
  <si>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</si>
  <si>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</si>
  <si>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</si>
  <si>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</si>
  <si>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</si>
  <si>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</si>
  <si>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</si>
  <si>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</si>
  <si>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</si>
  <si>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</si>
  <si>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</si>
  <si>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</si>
  <si>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</si>
  <si>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</si>
  <si>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</si>
  <si>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</si>
  <si>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</si>
  <si>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</si>
  <si>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</si>
  <si>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</si>
  <si>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</si>
  <si>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</si>
  <si>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</si>
  <si>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</si>
  <si>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</si>
  <si>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</si>
  <si>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</si>
  <si>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</si>
  <si>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</si>
  <si>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</si>
  <si>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</si>
  <si>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</si>
  <si>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</si>
  <si>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</si>
  <si>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</si>
  <si>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</si>
  <si>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</si>
  <si>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</si>
  <si>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</si>
  <si>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</si>
  <si>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</si>
  <si>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</si>
  <si>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</si>
  <si>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</si>
  <si>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</si>
  <si>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</si>
  <si>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</si>
  <si>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</si>
  <si>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</si>
  <si>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</si>
  <si>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</si>
  <si>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</si>
  <si>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</si>
  <si>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</si>
  <si>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</si>
  <si>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</si>
  <si>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</si>
  <si>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</si>
  <si>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</si>
  <si>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</si>
  <si>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</si>
  <si>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</si>
  <si>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</si>
  <si>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</si>
  <si>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</si>
  <si>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</si>
  <si>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</si>
  <si>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</si>
  <si>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</si>
  <si>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</si>
  <si>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</si>
  <si>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</si>
  <si>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</si>
  <si>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</si>
  <si>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</si>
  <si>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</si>
  <si>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</si>
  <si>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</si>
  <si>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</si>
  <si>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</si>
  <si>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</si>
  <si>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</si>
  <si>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</si>
  <si>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</si>
  <si>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</si>
  <si>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</si>
  <si>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</si>
  <si>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</si>
  <si>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</si>
  <si>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</si>
  <si>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</si>
  <si>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</si>
  <si>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</si>
  <si>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</si>
  <si>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</si>
  <si>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</si>
  <si>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</si>
  <si>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</si>
  <si>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</si>
  <si>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</si>
  <si>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</si>
  <si>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</si>
  <si>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</si>
  <si>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</si>
  <si>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</si>
  <si>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</si>
  <si>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</si>
  <si>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</si>
  <si>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</si>
  <si>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</si>
  <si>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</si>
  <si>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</si>
  <si>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</si>
  <si>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</si>
  <si>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</si>
  <si>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</si>
  <si>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</si>
  <si>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</si>
  <si>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</si>
  <si>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</si>
  <si>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</si>
  <si>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</si>
  <si>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</si>
  <si>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</si>
  <si>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</si>
  <si>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</si>
  <si>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</si>
  <si>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</si>
  <si>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</si>
  <si>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</si>
  <si>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</si>
  <si>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</si>
  <si>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</si>
  <si>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</si>
  <si>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</si>
  <si>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</si>
  <si>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</si>
  <si>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</si>
  <si>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</si>
  <si>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</si>
  <si>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</si>
  <si>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</si>
  <si>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</si>
  <si>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</si>
  <si>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</si>
  <si>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</si>
  <si>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</si>
  <si>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</si>
  <si>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</si>
  <si>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</si>
  <si>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</si>
  <si>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</si>
  <si>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</si>
  <si>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</si>
  <si>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</si>
  <si>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</si>
  <si>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</si>
  <si>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</si>
  <si>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</si>
  <si>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</si>
  <si>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</si>
  <si>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</si>
  <si>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</si>
  <si>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</si>
  <si>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</si>
  <si>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</si>
  <si>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</si>
  <si>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</si>
  <si>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</si>
  <si>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</si>
  <si>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</si>
  <si>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</si>
  <si>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</si>
  <si>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</si>
  <si>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</si>
  <si>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</si>
  <si>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</si>
  <si>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</si>
  <si>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</si>
  <si>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</si>
  <si>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</si>
  <si>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</si>
  <si>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</si>
  <si>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</si>
  <si>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</si>
  <si>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</si>
  <si>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</si>
  <si>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</si>
  <si>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</si>
  <si>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</si>
  <si>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</si>
  <si>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</si>
  <si>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</si>
  <si>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</si>
  <si>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</si>
  <si>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</si>
  <si>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</si>
  <si>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</si>
  <si>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</si>
  <si>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</si>
  <si>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</si>
  <si>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</si>
  <si>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</si>
  <si>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</si>
  <si>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</si>
  <si>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</si>
  <si>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</si>
  <si>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</si>
  <si>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</si>
  <si>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</si>
  <si>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</si>
  <si>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</si>
  <si>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</si>
  <si>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</si>
  <si>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</si>
  <si>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</si>
  <si>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</si>
  <si>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</si>
  <si>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</si>
  <si>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</si>
  <si>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</si>
  <si>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</si>
  <si>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</si>
  <si>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</si>
  <si>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</si>
  <si>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</si>
  <si>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</si>
  <si>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</si>
  <si>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</si>
  <si>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</si>
  <si>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</si>
  <si>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</si>
  <si>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</si>
  <si>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</si>
  <si>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</si>
  <si>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</si>
  <si>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</si>
  <si>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</si>
  <si>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</si>
  <si>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</si>
  <si>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</si>
  <si>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</si>
  <si>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</si>
  <si>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</si>
  <si>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</si>
  <si>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</si>
  <si>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</si>
  <si>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</si>
  <si>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</si>
  <si>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</si>
  <si>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</si>
  <si>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</si>
  <si>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</si>
  <si>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</si>
  <si>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</si>
  <si>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</si>
  <si>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</si>
  <si>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</si>
  <si>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</si>
  <si>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</si>
  <si>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</si>
  <si>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</si>
  <si>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</si>
  <si>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</si>
  <si>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</si>
  <si>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</si>
  <si>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</si>
  <si>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</si>
  <si>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</si>
  <si>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</si>
  <si>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</si>
  <si>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</si>
  <si>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</si>
  <si>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</si>
  <si>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</si>
  <si>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</si>
  <si>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</si>
  <si>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</si>
  <si>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</si>
  <si>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</si>
  <si>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</si>
  <si>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</si>
  <si>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</si>
  <si>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</si>
  <si>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</si>
  <si>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</si>
  <si>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</si>
  <si>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</si>
  <si>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</si>
  <si>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</si>
  <si>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</si>
  <si>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</si>
  <si>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</si>
  <si>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</si>
  <si>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</si>
  <si>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</si>
  <si>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</si>
  <si>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</si>
  <si>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</si>
  <si>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</si>
  <si>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</si>
  <si>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</si>
  <si>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</si>
  <si>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</si>
  <si>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</si>
  <si>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</si>
  <si>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</si>
  <si>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</si>
  <si>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</si>
  <si>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</si>
  <si>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</si>
  <si>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</si>
  <si>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</si>
  <si>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</si>
  <si>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</si>
  <si>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</si>
  <si>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</si>
  <si>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</si>
  <si>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</si>
  <si>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</si>
  <si>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</si>
  <si>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</si>
  <si>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</si>
  <si>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</si>
  <si>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</si>
  <si>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</si>
  <si>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</si>
  <si>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</si>
  <si>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</si>
  <si>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</si>
  <si>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</si>
  <si>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</si>
  <si>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</si>
  <si>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</si>
  <si>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</si>
  <si>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</si>
  <si>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</si>
  <si>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</si>
  <si>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</si>
  <si>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</si>
  <si>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</si>
  <si>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</si>
  <si>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</si>
  <si>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</si>
  <si>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</si>
  <si>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</si>
  <si>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</si>
  <si>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</si>
  <si>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</si>
  <si>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</si>
  <si>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</si>
  <si>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</si>
  <si>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</si>
  <si>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</si>
  <si>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</si>
  <si>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</si>
  <si>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</si>
  <si>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</si>
  <si>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</si>
  <si>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</si>
  <si>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</si>
  <si>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</si>
  <si>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</si>
  <si>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</si>
  <si>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</si>
  <si>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</si>
  <si>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</si>
  <si>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</si>
  <si>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</si>
  <si>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</si>
  <si>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</si>
  <si>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</si>
  <si>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</si>
  <si>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</si>
  <si>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</si>
  <si>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</si>
  <si>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</si>
  <si>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</si>
  <si>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</si>
  <si>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</si>
  <si>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</si>
  <si>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</si>
  <si>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</si>
  <si>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</si>
  <si>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</si>
  <si>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</si>
  <si>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</si>
  <si>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</si>
  <si>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</si>
  <si>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</si>
  <si>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</si>
  <si>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</si>
  <si>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</si>
  <si>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</si>
  <si>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</si>
  <si>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</si>
  <si>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</si>
  <si>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</si>
  <si>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</si>
  <si>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</si>
  <si>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</si>
  <si>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</si>
  <si>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</si>
  <si>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</si>
  <si>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</si>
  <si>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</si>
  <si>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</si>
  <si>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</si>
  <si>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</si>
  <si>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</si>
  <si>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</si>
  <si>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</si>
  <si>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</si>
  <si>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</si>
  <si>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</si>
  <si>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</si>
  <si>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</si>
  <si>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</si>
  <si>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</si>
  <si>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</si>
  <si>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</si>
  <si>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</si>
  <si>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</si>
  <si>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</si>
  <si>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</si>
  <si>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</si>
  <si>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</si>
  <si>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</si>
  <si>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</si>
  <si>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</si>
  <si>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</si>
  <si>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</si>
  <si>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</si>
  <si>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</si>
  <si>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</si>
  <si>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</si>
  <si>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</si>
  <si>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</si>
  <si>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</si>
  <si>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</si>
  <si>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</si>
  <si>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</si>
  <si>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</si>
  <si>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</si>
  <si>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</si>
  <si>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</si>
  <si>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</si>
  <si>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</si>
  <si>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</si>
  <si>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</si>
  <si>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</si>
  <si>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</si>
  <si>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</si>
  <si>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</si>
  <si>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</si>
  <si>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</si>
  <si>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</si>
  <si>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</si>
  <si>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</si>
  <si>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</si>
  <si>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</si>
  <si>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</si>
  <si>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</si>
  <si>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</si>
  <si>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</si>
  <si>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</si>
  <si>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</si>
  <si>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</si>
  <si>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</si>
  <si>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</si>
  <si>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</si>
  <si>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</si>
  <si>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</si>
  <si>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</si>
  <si>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</si>
  <si>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</si>
  <si>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</si>
  <si>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</si>
  <si>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</si>
  <si>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</si>
  <si>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</si>
  <si>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</si>
  <si>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</si>
  <si>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</si>
  <si>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</si>
  <si>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</si>
  <si>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</si>
  <si>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</si>
  <si>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</si>
  <si>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</si>
  <si>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</si>
  <si>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</si>
  <si>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</si>
  <si>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</si>
  <si>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</si>
  <si>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</si>
  <si>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</si>
  <si>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</si>
  <si>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</si>
  <si>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</si>
  <si>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</si>
  <si>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</si>
  <si>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</si>
  <si>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</si>
  <si>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</si>
  <si>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</si>
  <si>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</si>
  <si>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</si>
  <si>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</si>
  <si>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</si>
  <si>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</si>
  <si>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</si>
  <si>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</si>
  <si>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</si>
  <si>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</si>
  <si>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</si>
  <si>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</si>
  <si>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</si>
  <si>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</si>
  <si>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</si>
  <si>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</si>
  <si>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</si>
  <si>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</si>
  <si>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</si>
  <si>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</si>
  <si>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</si>
  <si>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</si>
  <si>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</si>
  <si>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</si>
  <si>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</si>
  <si>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</si>
  <si>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</si>
  <si>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</si>
  <si>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</si>
  <si>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</si>
  <si>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</si>
  <si>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</si>
  <si>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</si>
  <si>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</si>
  <si>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</si>
  <si>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</si>
  <si>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</si>
  <si>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</si>
  <si>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</si>
  <si>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</si>
  <si>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</si>
  <si>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</si>
  <si>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</si>
  <si>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</si>
  <si>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</si>
  <si>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</si>
  <si>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</si>
  <si>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</si>
  <si>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</si>
  <si>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</si>
  <si>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</si>
  <si>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</si>
  <si>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</si>
  <si>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</si>
  <si>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</si>
  <si>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</si>
  <si>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</si>
  <si>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</si>
  <si>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</si>
  <si>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</si>
  <si>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</si>
  <si>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</si>
  <si>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</si>
  <si>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</si>
  <si>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</si>
  <si>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</si>
  <si>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</si>
  <si>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</si>
  <si>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</si>
  <si>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</si>
  <si>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</si>
  <si>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</si>
  <si>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</si>
  <si>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</si>
  <si>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</si>
  <si>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</si>
  <si>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</si>
  <si>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</si>
  <si>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</si>
  <si>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</si>
  <si>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</si>
  <si>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</si>
  <si>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</si>
  <si>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</si>
  <si>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</si>
  <si>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</si>
  <si>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</si>
  <si>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</si>
  <si>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</si>
  <si>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</si>
  <si>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</si>
  <si>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</si>
  <si>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</si>
  <si>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</si>
  <si>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</si>
  <si>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</si>
  <si>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</si>
  <si>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</si>
  <si>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</si>
  <si>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</si>
  <si>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</si>
  <si>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</si>
  <si>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</si>
  <si>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</si>
  <si>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</si>
  <si>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</si>
  <si>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</si>
  <si>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</si>
  <si>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</si>
  <si>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</si>
  <si>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</si>
  <si>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</si>
  <si>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</si>
  <si>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</si>
  <si>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</si>
  <si>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</si>
  <si>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</si>
  <si>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</si>
  <si>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</si>
  <si>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</si>
  <si>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</si>
  <si>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</si>
  <si>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</si>
  <si>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</si>
  <si>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</si>
  <si>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</si>
  <si>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</si>
  <si>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</si>
  <si>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</si>
  <si>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</si>
  <si>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</si>
  <si>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</si>
  <si>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</si>
  <si>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</si>
  <si>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</si>
  <si>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</si>
  <si>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</si>
  <si>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</si>
  <si>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</si>
  <si>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</si>
  <si>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</si>
  <si>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</si>
  <si>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</si>
  <si>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</si>
  <si>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</si>
  <si>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</si>
  <si>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</si>
  <si>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</si>
  <si>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</si>
  <si>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</si>
  <si>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</si>
  <si>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</si>
  <si>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</si>
  <si>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</si>
  <si>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</si>
  <si>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</si>
  <si>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</si>
  <si>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</si>
  <si>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</si>
  <si>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코드 너머, 회사보다 오래 남을 개발자</t>
    <phoneticPr fontId="41" type="noConversion"/>
  </si>
  <si>
    <r>
      <t>005.104-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</si>
  <si>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노르웨이의 숲</t>
    <phoneticPr fontId="41" type="noConversion"/>
  </si>
  <si>
    <t>mkjoo</t>
    <phoneticPr fontId="41" type="noConversion"/>
  </si>
  <si>
    <t>나답게 살고 싶어서 뇌과학을 읽습니다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</si>
  <si>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ㄴㄱ</t>
    </r>
    <phoneticPr fontId="41" type="noConversion"/>
  </si>
  <si>
    <t>살아 있는 자들을 위한 죽음 수업</t>
    <phoneticPr fontId="41" type="noConversion"/>
  </si>
  <si>
    <t>eBook</t>
    <phoneticPr fontId="41" type="noConversion"/>
  </si>
  <si>
    <t>**</t>
    <phoneticPr fontId="41" type="noConversion"/>
  </si>
  <si>
    <t>인문/교양</t>
    <phoneticPr fontId="41" type="noConversion"/>
  </si>
  <si>
    <t>결핍은 우리를 어떻게 변화시키는가</t>
    <phoneticPr fontId="41" type="noConversion"/>
  </si>
  <si>
    <t>?</t>
    <phoneticPr fontId="41" type="noConversion"/>
  </si>
  <si>
    <t>경제/경영</t>
    <phoneticPr fontId="41" type="noConversion"/>
  </si>
  <si>
    <t>AI를 활용하는 스마트한 주식투자</t>
    <phoneticPr fontId="41" type="noConversion"/>
  </si>
  <si>
    <t>소장</t>
    <phoneticPr fontId="41" type="noConversion"/>
  </si>
  <si>
    <t>AI 시대의 팀장은 다르게 일합니다</t>
    <phoneticPr fontId="41" type="noConversion"/>
  </si>
  <si>
    <t>O</t>
    <phoneticPr fontId="41" type="noConversion"/>
  </si>
  <si>
    <t>(이게 되네?)제미나이</t>
    <phoneticPr fontId="41" type="noConversion"/>
  </si>
  <si>
    <t>반월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</si>
  <si>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</si>
  <si>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O</t>
    <phoneticPr fontId="41" type="noConversion"/>
  </si>
  <si>
    <t>안티그래비티 완벽 가이드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</si>
  <si>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</si>
  <si>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t>(코딩 자율학습)네트워크 입문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</si>
  <si>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맑은 고딕"/>
        <family val="2"/>
        <charset val="129"/>
      </rPr>
      <t>ㄴ</t>
    </r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</si>
</sst>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75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  <xf numFmtId="0" fontId="62" fillId="20" borderId="52" xfId="0" applyFont="1" applyFill="1" applyBorder="1" applyAlignment="1">
      <alignment horizontal="left" vertical="center"/>
    </xf>
    <xf numFmtId="0" fontId="62" fillId="20" borderId="52" xfId="0" applyFont="1" applyFill="1" applyBorder="1" applyAlignment="1">
      <alignment horizontal="center"/>
    </xf>
    <xf numFmtId="1" fontId="62" fillId="20" borderId="52" xfId="0" applyNumberFormat="1" applyFont="1" applyFill="1" applyBorder="1" applyAlignment="1">
      <alignment horizontal="center"/>
    </xf>
    <xf numFmtId="0" fontId="62" fillId="29" borderId="3" xfId="0" applyFont="1" applyFill="1" applyBorder="1" applyAlignment="1">
      <alignment horizontal="center" vertical="center"/>
    </xf>
    <xf numFmtId="0" fontId="34" fillId="23" borderId="42" xfId="0" applyFont="1" applyFill="1" applyBorder="1" applyAlignment="1">
      <alignment horizontal="center"/>
    </xf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8">
        <v>2019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  <c r="N1" s="758"/>
      <c r="O1" s="758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9">
        <v>2020</v>
      </c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57">
        <v>2021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C000"/>
  </sheetPr>
  <dimension ref="A1:O273"/>
  <sheetViews>
    <sheetView zoomScaleNormal="100" zoomScaleSheetLayoutView="75" workbookViewId="0">
      <pane ySplit="2" topLeftCell="A168" activePane="bottomLeft" state="frozen"/>
      <selection pane="bottomLeft" activeCell="C202" sqref="C202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3916</v>
      </c>
      <c r="C154" s="605"/>
      <c r="D154" s="605">
        <v>236</v>
      </c>
      <c r="E154" s="670">
        <f t="shared" ref="E154:E161" si="21">(C154/D154)*100</f>
        <v>0</v>
      </c>
      <c r="F154" s="605"/>
      <c r="G154" s="470" t="s">
        <v>1318</v>
      </c>
      <c r="H154" s="471" t="s">
        <v>5227</v>
      </c>
      <c r="I154" s="297">
        <v>2023</v>
      </c>
      <c r="J154" s="470" t="s">
        <v>702</v>
      </c>
      <c r="K154" s="295" t="s">
        <v>5228</v>
      </c>
      <c r="L154" s="300">
        <v>45830</v>
      </c>
      <c r="M154" s="296" t="s">
        <v>690</v>
      </c>
      <c r="N154" s="281">
        <f t="shared" ref="N154:N161" si="22">IF(M154="O",L154+21,L154+14)</f>
        <v>45851</v>
      </c>
      <c r="O154" s="9"/>
    </row>
    <row r="155" spans="1:15" ht="15.6">
      <c r="A155" s="3">
        <v>30</v>
      </c>
      <c r="B155" s="708" t="s">
        <v>4502</v>
      </c>
      <c r="C155" s="605">
        <v>230</v>
      </c>
      <c r="D155" s="605">
        <v>304</v>
      </c>
      <c r="E155" s="670">
        <f t="shared" si="21"/>
        <v>75.657894736842096</v>
      </c>
      <c r="F155" s="605"/>
      <c r="G155" s="470" t="s">
        <v>4925</v>
      </c>
      <c r="H155" s="471" t="s">
        <v>5118</v>
      </c>
      <c r="I155" s="297">
        <v>2020</v>
      </c>
      <c r="J155" s="470" t="s">
        <v>685</v>
      </c>
      <c r="K155" s="295" t="s">
        <v>5119</v>
      </c>
      <c r="L155" s="300">
        <v>45830</v>
      </c>
      <c r="M155" s="296" t="s">
        <v>690</v>
      </c>
      <c r="N155" s="281">
        <f t="shared" si="22"/>
        <v>45851</v>
      </c>
      <c r="O155" s="173" t="s">
        <v>5229</v>
      </c>
    </row>
    <row r="156" spans="1:15" ht="15">
      <c r="A156" s="3">
        <v>31</v>
      </c>
      <c r="B156" s="708" t="s">
        <v>4502</v>
      </c>
      <c r="C156" s="605">
        <v>149</v>
      </c>
      <c r="D156" s="605">
        <v>424</v>
      </c>
      <c r="E156" s="670">
        <f t="shared" si="21"/>
        <v>35.141509433962263</v>
      </c>
      <c r="F156" s="605"/>
      <c r="G156" s="470" t="s">
        <v>4841</v>
      </c>
      <c r="H156" s="471" t="s">
        <v>807</v>
      </c>
      <c r="I156" s="297">
        <v>2020</v>
      </c>
      <c r="J156" s="470" t="s">
        <v>702</v>
      </c>
      <c r="K156" s="295" t="s">
        <v>5141</v>
      </c>
      <c r="L156" s="300">
        <v>45830</v>
      </c>
      <c r="M156" s="296" t="s">
        <v>690</v>
      </c>
      <c r="N156" s="281">
        <f t="shared" si="22"/>
        <v>45851</v>
      </c>
      <c r="O156" s="9"/>
    </row>
    <row r="157" spans="1:15" ht="15.6">
      <c r="A157" s="3">
        <v>32</v>
      </c>
      <c r="B157" s="708" t="s">
        <v>4502</v>
      </c>
      <c r="C157" s="605"/>
      <c r="D157" s="605">
        <v>144</v>
      </c>
      <c r="E157" s="670">
        <f t="shared" si="21"/>
        <v>0</v>
      </c>
      <c r="F157" s="605"/>
      <c r="G157" s="470" t="s">
        <v>1318</v>
      </c>
      <c r="H157" s="471" t="s">
        <v>5172</v>
      </c>
      <c r="I157" s="297">
        <v>2016</v>
      </c>
      <c r="J157" s="470" t="s">
        <v>702</v>
      </c>
      <c r="K157" s="295" t="s">
        <v>5173</v>
      </c>
      <c r="L157" s="300">
        <v>45662</v>
      </c>
      <c r="M157" s="296" t="s">
        <v>690</v>
      </c>
      <c r="N157" s="281">
        <f t="shared" si="22"/>
        <v>45683</v>
      </c>
      <c r="O157" s="9"/>
    </row>
    <row r="158" spans="1:15" ht="15.6">
      <c r="A158" s="3">
        <v>33</v>
      </c>
      <c r="B158" s="708" t="s">
        <v>4502</v>
      </c>
      <c r="C158" s="605">
        <v>42</v>
      </c>
      <c r="D158" s="605">
        <v>879</v>
      </c>
      <c r="E158" s="670">
        <f t="shared" si="21"/>
        <v>4.7781569965870307</v>
      </c>
      <c r="F158" s="605"/>
      <c r="G158" s="470" t="s">
        <v>5159</v>
      </c>
      <c r="H158" s="471" t="s">
        <v>5147</v>
      </c>
      <c r="I158" s="297">
        <v>2024</v>
      </c>
      <c r="J158" s="470" t="s">
        <v>887</v>
      </c>
      <c r="K158" s="295" t="s">
        <v>5148</v>
      </c>
      <c r="L158" s="300">
        <v>45851</v>
      </c>
      <c r="M158" s="296" t="s">
        <v>690</v>
      </c>
      <c r="N158" s="281">
        <f t="shared" si="22"/>
        <v>45872</v>
      </c>
      <c r="O158" s="173"/>
    </row>
    <row r="159" spans="1:15" ht="15.6">
      <c r="A159" s="3">
        <v>34</v>
      </c>
      <c r="B159" s="708" t="s">
        <v>3921</v>
      </c>
      <c r="C159" s="605">
        <v>35</v>
      </c>
      <c r="D159" s="605">
        <v>279</v>
      </c>
      <c r="E159" s="670">
        <f t="shared" si="21"/>
        <v>12.544802867383511</v>
      </c>
      <c r="F159" s="605"/>
      <c r="G159" s="470" t="s">
        <v>5014</v>
      </c>
      <c r="H159" s="471" t="s">
        <v>5210</v>
      </c>
      <c r="I159" s="297">
        <v>2025</v>
      </c>
      <c r="J159" s="470" t="s">
        <v>702</v>
      </c>
      <c r="K159" s="295" t="s">
        <v>5211</v>
      </c>
      <c r="L159" s="300">
        <v>45851</v>
      </c>
      <c r="M159" s="296" t="s">
        <v>690</v>
      </c>
      <c r="N159" s="281">
        <f t="shared" si="22"/>
        <v>45872</v>
      </c>
      <c r="O159" s="9"/>
    </row>
    <row r="160" spans="1:15" ht="15.6">
      <c r="A160" s="3">
        <v>35</v>
      </c>
      <c r="B160" s="708" t="s">
        <v>4502</v>
      </c>
      <c r="C160" s="605">
        <v>42</v>
      </c>
      <c r="D160" s="605">
        <v>239</v>
      </c>
      <c r="E160" s="670">
        <f t="shared" si="21"/>
        <v>17.573221757322173</v>
      </c>
      <c r="F160" s="605"/>
      <c r="G160" s="470" t="s">
        <v>4841</v>
      </c>
      <c r="H160" s="471" t="s">
        <v>5144</v>
      </c>
      <c r="I160" s="297">
        <v>2022</v>
      </c>
      <c r="J160" s="470" t="s">
        <v>702</v>
      </c>
      <c r="K160" s="295" t="s">
        <v>5157</v>
      </c>
      <c r="L160" s="300">
        <v>45851</v>
      </c>
      <c r="M160" s="296" t="s">
        <v>690</v>
      </c>
      <c r="N160" s="281">
        <f t="shared" si="22"/>
        <v>45872</v>
      </c>
      <c r="O160" s="9"/>
    </row>
    <row r="161" spans="1:15" ht="15">
      <c r="A161" s="3">
        <v>36</v>
      </c>
      <c r="B161" s="708" t="s">
        <v>3922</v>
      </c>
      <c r="C161" s="605">
        <v>24</v>
      </c>
      <c r="D161" s="605">
        <v>291</v>
      </c>
      <c r="E161" s="670">
        <f t="shared" si="21"/>
        <v>8.2474226804123703</v>
      </c>
      <c r="F161" s="605"/>
      <c r="G161" s="470" t="s">
        <v>5032</v>
      </c>
      <c r="H161" s="471" t="s">
        <v>5233</v>
      </c>
      <c r="I161" s="297">
        <v>2025</v>
      </c>
      <c r="J161" s="470" t="s">
        <v>5231</v>
      </c>
      <c r="K161" s="295"/>
      <c r="L161" s="300">
        <v>45879</v>
      </c>
      <c r="M161" s="296" t="s">
        <v>690</v>
      </c>
      <c r="N161" s="281">
        <f t="shared" si="22"/>
        <v>45900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" si="23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" si="24">IF(M167="O",L167+21,L167+14)</f>
        <v>14</v>
      </c>
      <c r="O167" s="173"/>
    </row>
    <row r="168" spans="1:15" ht="15">
      <c r="A168" s="3">
        <v>43</v>
      </c>
      <c r="B168" s="708" t="s">
        <v>4502</v>
      </c>
      <c r="C168" s="605">
        <v>30</v>
      </c>
      <c r="D168" s="605">
        <v>485</v>
      </c>
      <c r="E168" s="670">
        <f t="shared" ref="E168:E185" si="25">(C168/D168)*100</f>
        <v>6.1855670103092786</v>
      </c>
      <c r="F168" s="605"/>
      <c r="G168" s="470" t="s">
        <v>1318</v>
      </c>
      <c r="H168" s="471" t="s">
        <v>5234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ref="N168:N184" si="26">IF(M168="O",L168+21,L168+14)</f>
        <v>45900</v>
      </c>
      <c r="O168" s="9"/>
    </row>
    <row r="169" spans="1:15" ht="15.6">
      <c r="A169" s="3">
        <v>44</v>
      </c>
      <c r="B169" s="708" t="s">
        <v>4502</v>
      </c>
      <c r="C169" s="605">
        <v>24</v>
      </c>
      <c r="D169" s="605">
        <v>392</v>
      </c>
      <c r="E169" s="670">
        <f t="shared" si="25"/>
        <v>6.1224489795918364</v>
      </c>
      <c r="F169" s="605"/>
      <c r="G169" s="470" t="s">
        <v>5014</v>
      </c>
      <c r="H169" s="471" t="s">
        <v>5235</v>
      </c>
      <c r="I169" s="297">
        <v>2024</v>
      </c>
      <c r="J169" s="470" t="s">
        <v>702</v>
      </c>
      <c r="K169" s="295" t="s">
        <v>5236</v>
      </c>
      <c r="L169" s="300">
        <v>45892</v>
      </c>
      <c r="M169" s="296" t="s">
        <v>690</v>
      </c>
      <c r="N169" s="281">
        <f t="shared" si="26"/>
        <v>45913</v>
      </c>
      <c r="O169" s="9"/>
    </row>
    <row r="170" spans="1:15" ht="15.6">
      <c r="A170" s="3">
        <v>45</v>
      </c>
      <c r="B170" s="708" t="s">
        <v>3922</v>
      </c>
      <c r="C170" s="605"/>
      <c r="D170" s="605">
        <v>270</v>
      </c>
      <c r="E170" s="670">
        <f t="shared" si="25"/>
        <v>0</v>
      </c>
      <c r="F170" s="605"/>
      <c r="G170" s="470" t="s">
        <v>1318</v>
      </c>
      <c r="H170" s="471" t="s">
        <v>5238</v>
      </c>
      <c r="I170" s="297">
        <v>2019</v>
      </c>
      <c r="J170" s="470" t="s">
        <v>685</v>
      </c>
      <c r="K170" s="295" t="s">
        <v>5239</v>
      </c>
      <c r="L170" s="300">
        <v>45900</v>
      </c>
      <c r="M170" s="296" t="s">
        <v>690</v>
      </c>
      <c r="N170" s="281">
        <f t="shared" si="26"/>
        <v>45921</v>
      </c>
      <c r="O170" s="9"/>
    </row>
    <row r="171" spans="1:15" ht="15">
      <c r="A171" s="3">
        <v>46</v>
      </c>
      <c r="B171" s="708" t="s">
        <v>4502</v>
      </c>
      <c r="C171" s="605"/>
      <c r="D171" s="605">
        <v>387</v>
      </c>
      <c r="E171" s="670">
        <f t="shared" si="25"/>
        <v>0</v>
      </c>
      <c r="F171" s="605"/>
      <c r="G171" s="470" t="s">
        <v>1318</v>
      </c>
      <c r="H171" s="471" t="s">
        <v>5240</v>
      </c>
      <c r="I171" s="297">
        <v>2025</v>
      </c>
      <c r="J171" s="470" t="s">
        <v>5231</v>
      </c>
      <c r="K171" s="295"/>
      <c r="L171" s="300">
        <v>45907</v>
      </c>
      <c r="M171" s="296" t="s">
        <v>690</v>
      </c>
      <c r="N171" s="281">
        <f t="shared" si="26"/>
        <v>45928</v>
      </c>
      <c r="O171" s="173"/>
    </row>
    <row r="172" spans="1:15" ht="15">
      <c r="A172" s="3">
        <v>47</v>
      </c>
      <c r="B172" s="708" t="s">
        <v>4502</v>
      </c>
      <c r="C172" s="605"/>
      <c r="D172" s="605">
        <v>306</v>
      </c>
      <c r="E172" s="670">
        <f t="shared" si="25"/>
        <v>0</v>
      </c>
      <c r="F172" s="605"/>
      <c r="G172" s="470" t="s">
        <v>1318</v>
      </c>
      <c r="H172" s="471" t="s">
        <v>5241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6"/>
        <v>45928</v>
      </c>
      <c r="O172" s="173"/>
    </row>
    <row r="173" spans="1:15" ht="15.6">
      <c r="A173" s="3">
        <v>48</v>
      </c>
      <c r="B173" s="708" t="s">
        <v>3922</v>
      </c>
      <c r="C173" s="605"/>
      <c r="D173" s="605">
        <v>319</v>
      </c>
      <c r="E173" s="670">
        <f t="shared" si="25"/>
        <v>0</v>
      </c>
      <c r="F173" s="605"/>
      <c r="G173" s="470" t="s">
        <v>1318</v>
      </c>
      <c r="H173" s="471" t="s">
        <v>5242</v>
      </c>
      <c r="I173" s="297">
        <v>2025</v>
      </c>
      <c r="J173" s="470" t="s">
        <v>5085</v>
      </c>
      <c r="K173" s="295" t="s">
        <v>5243</v>
      </c>
      <c r="L173" s="300">
        <v>45907</v>
      </c>
      <c r="M173" s="296" t="s">
        <v>690</v>
      </c>
      <c r="N173" s="281">
        <f t="shared" si="26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630</v>
      </c>
      <c r="E174" s="670">
        <f t="shared" si="25"/>
        <v>0</v>
      </c>
      <c r="F174" s="605"/>
      <c r="G174" s="470" t="s">
        <v>1318</v>
      </c>
      <c r="H174" s="471" t="s">
        <v>5244</v>
      </c>
      <c r="I174" s="297">
        <v>2022</v>
      </c>
      <c r="J174" s="470" t="s">
        <v>5085</v>
      </c>
      <c r="K174" s="295" t="s">
        <v>5245</v>
      </c>
      <c r="L174" s="300">
        <v>45907</v>
      </c>
      <c r="M174" s="296" t="s">
        <v>690</v>
      </c>
      <c r="N174" s="281">
        <f t="shared" si="26"/>
        <v>45928</v>
      </c>
      <c r="O174" s="9"/>
    </row>
    <row r="175" spans="1:15" ht="15">
      <c r="A175" s="3">
        <v>50</v>
      </c>
      <c r="B175" s="474" t="s">
        <v>3922</v>
      </c>
      <c r="C175" s="473">
        <v>338</v>
      </c>
      <c r="D175" s="584">
        <v>416</v>
      </c>
      <c r="E175" s="672">
        <f t="shared" si="25"/>
        <v>81.25</v>
      </c>
      <c r="F175" s="473"/>
      <c r="G175" s="441" t="s">
        <v>4830</v>
      </c>
      <c r="H175" s="474" t="s">
        <v>5006</v>
      </c>
      <c r="I175" s="312">
        <v>2022</v>
      </c>
      <c r="J175" s="473" t="s">
        <v>4111</v>
      </c>
      <c r="K175" s="702"/>
      <c r="L175" s="586"/>
      <c r="M175" s="348"/>
      <c r="N175" s="281">
        <f t="shared" si="26"/>
        <v>14</v>
      </c>
      <c r="O175" s="9"/>
    </row>
    <row r="176" spans="1:15" ht="15">
      <c r="A176" s="3">
        <v>51</v>
      </c>
      <c r="B176" s="727" t="s">
        <v>3922</v>
      </c>
      <c r="C176" s="584">
        <v>165</v>
      </c>
      <c r="D176" s="584">
        <v>303</v>
      </c>
      <c r="E176" s="672">
        <f t="shared" si="25"/>
        <v>54.455445544554458</v>
      </c>
      <c r="F176" s="584"/>
      <c r="G176" s="441" t="s">
        <v>4925</v>
      </c>
      <c r="H176" s="474" t="s">
        <v>5232</v>
      </c>
      <c r="I176" s="312">
        <v>2021</v>
      </c>
      <c r="J176" s="473" t="s">
        <v>4111</v>
      </c>
      <c r="K176" s="310"/>
      <c r="L176" s="586"/>
      <c r="M176" s="312"/>
      <c r="N176" s="281">
        <f t="shared" si="26"/>
        <v>14</v>
      </c>
      <c r="O176" s="9"/>
    </row>
    <row r="177" spans="1:15" ht="15">
      <c r="A177" s="3">
        <v>52</v>
      </c>
      <c r="B177" s="727" t="s">
        <v>4502</v>
      </c>
      <c r="C177" s="584">
        <v>39</v>
      </c>
      <c r="D177" s="584">
        <v>243</v>
      </c>
      <c r="E177" s="672">
        <f t="shared" si="25"/>
        <v>16.049382716049383</v>
      </c>
      <c r="F177" s="584"/>
      <c r="G177" s="729" t="s">
        <v>4925</v>
      </c>
      <c r="H177" s="474" t="s">
        <v>5125</v>
      </c>
      <c r="I177" s="312">
        <v>2024</v>
      </c>
      <c r="J177" s="473" t="s">
        <v>4111</v>
      </c>
      <c r="K177" s="330"/>
      <c r="L177" s="586"/>
      <c r="M177" s="312"/>
      <c r="N177" s="281">
        <f t="shared" si="26"/>
        <v>14</v>
      </c>
      <c r="O177" s="9"/>
    </row>
    <row r="178" spans="1:15" ht="15.6">
      <c r="A178" s="3">
        <v>53</v>
      </c>
      <c r="B178" s="708" t="s">
        <v>3921</v>
      </c>
      <c r="C178" s="605">
        <v>15</v>
      </c>
      <c r="D178" s="605">
        <v>284</v>
      </c>
      <c r="E178" s="670">
        <f t="shared" si="25"/>
        <v>5.28169014084507</v>
      </c>
      <c r="F178" s="605"/>
      <c r="G178" s="470" t="s">
        <v>1318</v>
      </c>
      <c r="H178" s="471" t="s">
        <v>5246</v>
      </c>
      <c r="I178" s="297">
        <v>2025</v>
      </c>
      <c r="J178" s="470" t="s">
        <v>702</v>
      </c>
      <c r="K178" s="295" t="s">
        <v>5247</v>
      </c>
      <c r="L178" s="300">
        <v>45956</v>
      </c>
      <c r="M178" s="296" t="s">
        <v>690</v>
      </c>
      <c r="N178" s="281">
        <f t="shared" si="26"/>
        <v>45977</v>
      </c>
      <c r="O178" s="173"/>
    </row>
    <row r="179" spans="1:15" ht="15">
      <c r="A179" s="3">
        <v>54</v>
      </c>
      <c r="B179" s="708" t="s">
        <v>4107</v>
      </c>
      <c r="C179" s="605">
        <v>13</v>
      </c>
      <c r="D179" s="605">
        <v>189</v>
      </c>
      <c r="E179" s="670">
        <f t="shared" si="25"/>
        <v>6.8783068783068781</v>
      </c>
      <c r="F179" s="605"/>
      <c r="G179" s="470" t="s">
        <v>5014</v>
      </c>
      <c r="H179" s="471" t="s">
        <v>5248</v>
      </c>
      <c r="I179" s="297">
        <v>2025</v>
      </c>
      <c r="J179" s="470" t="s">
        <v>5249</v>
      </c>
      <c r="K179" s="295"/>
      <c r="L179" s="300">
        <v>45962</v>
      </c>
      <c r="M179" s="296" t="s">
        <v>690</v>
      </c>
      <c r="N179" s="281">
        <f t="shared" si="26"/>
        <v>45983</v>
      </c>
      <c r="O179" s="173"/>
    </row>
    <row r="180" spans="1:15" ht="15">
      <c r="A180" s="3">
        <v>55</v>
      </c>
      <c r="B180" s="708" t="s">
        <v>4107</v>
      </c>
      <c r="C180" s="605"/>
      <c r="D180" s="605">
        <v>189</v>
      </c>
      <c r="E180" s="670">
        <f t="shared" si="25"/>
        <v>0</v>
      </c>
      <c r="F180" s="605"/>
      <c r="G180" s="470" t="s">
        <v>1318</v>
      </c>
      <c r="H180" s="471" t="s">
        <v>5250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6"/>
        <v>45983</v>
      </c>
      <c r="O180" s="9"/>
    </row>
    <row r="181" spans="1:15" ht="15">
      <c r="A181" s="3">
        <v>56</v>
      </c>
      <c r="B181" s="708" t="s">
        <v>4502</v>
      </c>
      <c r="C181" s="605">
        <v>339</v>
      </c>
      <c r="D181" s="605">
        <v>557</v>
      </c>
      <c r="E181" s="670">
        <f t="shared" si="25"/>
        <v>60.861759425493709</v>
      </c>
      <c r="F181" s="605"/>
      <c r="G181" s="470" t="s">
        <v>4925</v>
      </c>
      <c r="H181" s="471" t="s">
        <v>5126</v>
      </c>
      <c r="I181" s="297">
        <v>2024</v>
      </c>
      <c r="J181" s="470" t="s">
        <v>702</v>
      </c>
      <c r="K181" s="295" t="s">
        <v>5112</v>
      </c>
      <c r="L181" s="300">
        <v>45991</v>
      </c>
      <c r="M181" s="297"/>
      <c r="N181" s="281">
        <f t="shared" si="26"/>
        <v>46005</v>
      </c>
      <c r="O181" s="173" t="s">
        <v>5213</v>
      </c>
    </row>
    <row r="182" spans="1:15" ht="15.6">
      <c r="A182" s="3">
        <v>57</v>
      </c>
      <c r="B182" s="750" t="s">
        <v>4107</v>
      </c>
      <c r="C182" s="751">
        <v>17</v>
      </c>
      <c r="D182" s="751">
        <v>345</v>
      </c>
      <c r="E182" s="752">
        <f t="shared" si="25"/>
        <v>4.9275362318840585</v>
      </c>
      <c r="F182" s="751"/>
      <c r="G182" s="439" t="s">
        <v>1318</v>
      </c>
      <c r="H182" s="440" t="s">
        <v>5252</v>
      </c>
      <c r="I182" s="217">
        <v>2024</v>
      </c>
      <c r="J182" s="439" t="s">
        <v>702</v>
      </c>
      <c r="K182" s="233" t="s">
        <v>5253</v>
      </c>
      <c r="L182" s="326">
        <v>45991</v>
      </c>
      <c r="M182" s="258" t="s">
        <v>690</v>
      </c>
      <c r="N182" s="281">
        <f t="shared" si="26"/>
        <v>46012</v>
      </c>
      <c r="O182" s="173"/>
    </row>
    <row r="183" spans="1:15" ht="15.6">
      <c r="A183" s="3">
        <v>58</v>
      </c>
      <c r="B183" s="750" t="s">
        <v>4502</v>
      </c>
      <c r="C183" s="751">
        <v>137</v>
      </c>
      <c r="D183" s="751">
        <v>543</v>
      </c>
      <c r="E183" s="752">
        <f t="shared" si="25"/>
        <v>25.23020257826888</v>
      </c>
      <c r="F183" s="751"/>
      <c r="G183" s="439" t="s">
        <v>4925</v>
      </c>
      <c r="H183" s="440" t="s">
        <v>5151</v>
      </c>
      <c r="I183" s="217">
        <v>2024</v>
      </c>
      <c r="J183" s="439" t="s">
        <v>702</v>
      </c>
      <c r="K183" s="233" t="s">
        <v>5152</v>
      </c>
      <c r="L183" s="326">
        <v>45991</v>
      </c>
      <c r="M183" s="258" t="s">
        <v>690</v>
      </c>
      <c r="N183" s="281">
        <f t="shared" si="26"/>
        <v>46012</v>
      </c>
      <c r="O183" s="173" t="s">
        <v>5222</v>
      </c>
    </row>
    <row r="184" spans="1:15" ht="15.6">
      <c r="A184" s="3">
        <v>59</v>
      </c>
      <c r="B184" s="708" t="s">
        <v>4502</v>
      </c>
      <c r="C184" s="605">
        <v>27</v>
      </c>
      <c r="D184" s="605">
        <v>304</v>
      </c>
      <c r="E184" s="670">
        <f t="shared" si="25"/>
        <v>8.8815789473684212</v>
      </c>
      <c r="F184" s="605"/>
      <c r="G184" s="470" t="s">
        <v>5042</v>
      </c>
      <c r="H184" s="471" t="s">
        <v>5254</v>
      </c>
      <c r="I184" s="297">
        <v>2025</v>
      </c>
      <c r="J184" s="470" t="s">
        <v>702</v>
      </c>
      <c r="K184" s="295" t="s">
        <v>5255</v>
      </c>
      <c r="L184" s="300">
        <v>46012</v>
      </c>
      <c r="M184" s="296" t="s">
        <v>690</v>
      </c>
      <c r="N184" s="281">
        <f t="shared" si="26"/>
        <v>46033</v>
      </c>
      <c r="O184" s="173"/>
    </row>
    <row r="185" spans="1:15" ht="15.6">
      <c r="A185" s="3">
        <v>60</v>
      </c>
      <c r="B185" s="753" t="s">
        <v>4502</v>
      </c>
      <c r="C185" s="754"/>
      <c r="D185" s="754">
        <v>704</v>
      </c>
      <c r="E185" s="755">
        <f t="shared" si="25"/>
        <v>0</v>
      </c>
      <c r="F185" s="754"/>
      <c r="G185" s="485" t="s">
        <v>1318</v>
      </c>
      <c r="H185" s="484" t="s">
        <v>5225</v>
      </c>
      <c r="I185" s="203">
        <v>2025</v>
      </c>
      <c r="J185" s="485" t="s">
        <v>702</v>
      </c>
      <c r="K185" s="202" t="s">
        <v>5226</v>
      </c>
      <c r="L185" s="323">
        <v>46033</v>
      </c>
      <c r="M185" s="203"/>
      <c r="N185" s="281">
        <f t="shared" ref="N185:N188" si="27">IF(M185="O",L185+21,L185+14)</f>
        <v>46047</v>
      </c>
      <c r="O185" s="173"/>
    </row>
    <row r="186" spans="1:15" ht="15.6">
      <c r="A186" s="3">
        <v>61</v>
      </c>
      <c r="B186" s="683" t="s">
        <v>4502</v>
      </c>
      <c r="C186" s="578"/>
      <c r="D186" s="578"/>
      <c r="E186" s="671" t="e">
        <f t="shared" ref="E186:E188" si="28">(C186/D186)*100</f>
        <v>#DIV/0!</v>
      </c>
      <c r="F186" s="578"/>
      <c r="G186" s="498" t="s">
        <v>1318</v>
      </c>
      <c r="H186" s="497" t="s">
        <v>5256</v>
      </c>
      <c r="I186" s="8"/>
      <c r="J186" s="498" t="s">
        <v>702</v>
      </c>
      <c r="K186" s="173" t="s">
        <v>5226</v>
      </c>
      <c r="L186" s="281">
        <v>46033</v>
      </c>
      <c r="M186" s="8"/>
      <c r="N186" s="281">
        <f t="shared" si="27"/>
        <v>46047</v>
      </c>
      <c r="O186" s="173" t="s">
        <v>5257</v>
      </c>
    </row>
    <row r="187" spans="1:15" ht="15">
      <c r="A187" s="3">
        <v>62</v>
      </c>
      <c r="B187" s="683"/>
      <c r="C187" s="578"/>
      <c r="D187" s="578"/>
      <c r="E187" s="671" t="e">
        <f t="shared" si="28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7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8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7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9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30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9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30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9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30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31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32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31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32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31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32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31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32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31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32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31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32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31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32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31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32"/>
        <v>14</v>
      </c>
      <c r="O199" s="9"/>
    </row>
    <row r="200" spans="1:15" ht="15">
      <c r="A200" s="3">
        <v>75</v>
      </c>
      <c r="B200" s="639">
        <v>2025</v>
      </c>
      <c r="C200" s="499">
        <v>60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32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32"/>
        <v>14</v>
      </c>
      <c r="O201" s="9"/>
    </row>
    <row r="202" spans="1:15" ht="15">
      <c r="A202" s="3">
        <v>77</v>
      </c>
      <c r="B202" s="502">
        <f>(C200/96)*100</f>
        <v>62.5</v>
      </c>
      <c r="C202" s="441">
        <f>C201*100/C200</f>
        <v>8.3333333333333339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32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7C7D-4694-4D5A-AFCE-281ED3DA298B}">
  <sheetPr>
    <tabColor rgb="FFFF0000"/>
  </sheetPr>
  <dimension ref="A1:O199"/>
  <sheetViews>
    <sheetView tabSelected="1" zoomScaleNormal="100" zoomScaleSheetLayoutView="75" workbookViewId="0">
      <pane ySplit="2" topLeftCell="A15" activePane="bottomLeft" state="frozen"/>
      <selection pane="bottomLeft" activeCell="C41" sqref="C41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4" t="s">
        <v>3964</v>
      </c>
      <c r="C3" s="473">
        <v>102</v>
      </c>
      <c r="D3" s="584">
        <v>269</v>
      </c>
      <c r="E3" s="672">
        <f t="shared" ref="E3:E17" si="0">(C3/D3)*100</f>
        <v>37.918215613382898</v>
      </c>
      <c r="F3" s="473"/>
      <c r="G3" s="473">
        <v>1</v>
      </c>
      <c r="H3" s="474" t="s">
        <v>3963</v>
      </c>
      <c r="I3" s="312">
        <v>2022</v>
      </c>
      <c r="J3" s="473" t="s">
        <v>4111</v>
      </c>
      <c r="K3" s="310"/>
      <c r="L3" s="586"/>
      <c r="M3" s="348"/>
      <c r="N3" s="281">
        <f t="shared" ref="N3:N26" si="1">IF(M3="O",L3+21,L3+14)</f>
        <v>14</v>
      </c>
      <c r="O3" s="477"/>
    </row>
    <row r="4" spans="2:15" ht="15">
      <c r="B4" s="474" t="s">
        <v>1890</v>
      </c>
      <c r="C4" s="473"/>
      <c r="D4" s="584"/>
      <c r="E4" s="672" t="e">
        <f t="shared" si="0"/>
        <v>#DIV/0!</v>
      </c>
      <c r="F4" s="473"/>
      <c r="G4" s="473"/>
      <c r="H4" s="474" t="s">
        <v>3965</v>
      </c>
      <c r="I4" s="312">
        <v>2017</v>
      </c>
      <c r="J4" s="473" t="s">
        <v>3915</v>
      </c>
      <c r="K4" s="330"/>
      <c r="L4" s="586"/>
      <c r="M4" s="348"/>
      <c r="N4" s="281">
        <f t="shared" si="1"/>
        <v>14</v>
      </c>
      <c r="O4" s="9"/>
    </row>
    <row r="5" spans="2:15" ht="15">
      <c r="B5" s="474" t="s">
        <v>4107</v>
      </c>
      <c r="C5" s="473"/>
      <c r="D5" s="584"/>
      <c r="E5" s="672" t="e">
        <f t="shared" si="0"/>
        <v>#DIV/0!</v>
      </c>
      <c r="F5" s="473"/>
      <c r="G5" s="473"/>
      <c r="H5" s="474" t="s">
        <v>4343</v>
      </c>
      <c r="I5" s="312">
        <v>2021</v>
      </c>
      <c r="J5" s="473" t="s">
        <v>4111</v>
      </c>
      <c r="K5" s="330"/>
      <c r="L5" s="586"/>
      <c r="M5" s="348"/>
      <c r="N5" s="281">
        <f t="shared" si="1"/>
        <v>14</v>
      </c>
      <c r="O5" s="477"/>
    </row>
    <row r="6" spans="2:15" ht="15">
      <c r="B6" s="474"/>
      <c r="C6" s="473"/>
      <c r="D6" s="584"/>
      <c r="E6" s="672" t="e">
        <f t="shared" si="0"/>
        <v>#DIV/0!</v>
      </c>
      <c r="F6" s="473"/>
      <c r="G6" s="473"/>
      <c r="H6" s="697" t="s">
        <v>5016</v>
      </c>
      <c r="I6" s="312"/>
      <c r="J6" s="473"/>
      <c r="K6" s="585"/>
      <c r="L6" s="586"/>
      <c r="M6" s="348"/>
      <c r="N6" s="281">
        <f t="shared" si="1"/>
        <v>14</v>
      </c>
      <c r="O6" s="477"/>
    </row>
    <row r="7" spans="2:15" ht="15">
      <c r="B7" s="474"/>
      <c r="C7" s="473"/>
      <c r="D7" s="584"/>
      <c r="E7" s="672" t="e">
        <f t="shared" si="0"/>
        <v>#DIV/0!</v>
      </c>
      <c r="F7" s="473"/>
      <c r="G7" s="473"/>
      <c r="H7" s="697" t="s">
        <v>5017</v>
      </c>
      <c r="I7" s="312"/>
      <c r="J7" s="473"/>
      <c r="K7" s="310"/>
      <c r="L7" s="586"/>
      <c r="M7" s="348"/>
      <c r="N7" s="281">
        <f t="shared" si="1"/>
        <v>14</v>
      </c>
      <c r="O7" s="9"/>
    </row>
    <row r="8" spans="2:15" ht="15">
      <c r="B8" s="701" t="s">
        <v>4109</v>
      </c>
      <c r="C8" s="473">
        <v>125</v>
      </c>
      <c r="D8" s="584">
        <v>269</v>
      </c>
      <c r="E8" s="672">
        <f t="shared" si="0"/>
        <v>46.468401486988846</v>
      </c>
      <c r="F8" s="473"/>
      <c r="G8" s="584" t="s">
        <v>4973</v>
      </c>
      <c r="H8" s="697" t="s">
        <v>4982</v>
      </c>
      <c r="I8" s="698">
        <v>2020</v>
      </c>
      <c r="J8" s="584" t="s">
        <v>2400</v>
      </c>
      <c r="K8" s="702"/>
      <c r="L8" s="586"/>
      <c r="M8" s="348"/>
      <c r="N8" s="281">
        <f t="shared" si="1"/>
        <v>14</v>
      </c>
      <c r="O8" s="9"/>
    </row>
    <row r="9" spans="2:15" ht="15">
      <c r="B9" s="474" t="s">
        <v>4109</v>
      </c>
      <c r="C9" s="473">
        <v>136</v>
      </c>
      <c r="D9" s="584">
        <v>662</v>
      </c>
      <c r="E9" s="672">
        <f t="shared" si="0"/>
        <v>20.543806646525681</v>
      </c>
      <c r="F9" s="473"/>
      <c r="G9" s="473" t="s">
        <v>4830</v>
      </c>
      <c r="H9" s="474" t="s">
        <v>4996</v>
      </c>
      <c r="I9" s="312">
        <v>2022</v>
      </c>
      <c r="J9" s="473" t="s">
        <v>4111</v>
      </c>
      <c r="K9" s="310"/>
      <c r="L9" s="586"/>
      <c r="M9" s="348"/>
      <c r="N9" s="281">
        <f t="shared" si="1"/>
        <v>14</v>
      </c>
      <c r="O9" s="9"/>
    </row>
    <row r="10" spans="2:15" ht="15">
      <c r="B10" s="727" t="s">
        <v>4109</v>
      </c>
      <c r="C10" s="584"/>
      <c r="D10" s="584">
        <v>379</v>
      </c>
      <c r="E10" s="672">
        <f t="shared" si="0"/>
        <v>0</v>
      </c>
      <c r="F10" s="584"/>
      <c r="G10" s="473" t="s">
        <v>1318</v>
      </c>
      <c r="H10" s="474" t="s">
        <v>5166</v>
      </c>
      <c r="I10" s="312">
        <v>2024</v>
      </c>
      <c r="J10" s="473" t="s">
        <v>4111</v>
      </c>
      <c r="K10" s="330"/>
      <c r="L10" s="586"/>
      <c r="M10" s="312"/>
      <c r="N10" s="281">
        <f t="shared" si="1"/>
        <v>14</v>
      </c>
      <c r="O10" s="9"/>
    </row>
    <row r="11" spans="2:15" ht="15">
      <c r="B11" s="727" t="s">
        <v>3922</v>
      </c>
      <c r="C11" s="584">
        <v>98</v>
      </c>
      <c r="D11" s="584">
        <v>255</v>
      </c>
      <c r="E11" s="672">
        <f t="shared" si="0"/>
        <v>38.431372549019613</v>
      </c>
      <c r="F11" s="584"/>
      <c r="G11" s="473"/>
      <c r="H11" s="474" t="s">
        <v>5095</v>
      </c>
      <c r="I11" s="312">
        <v>2024</v>
      </c>
      <c r="J11" s="473" t="s">
        <v>5096</v>
      </c>
      <c r="K11" s="330"/>
      <c r="L11" s="586"/>
      <c r="M11" s="312"/>
      <c r="N11" s="281">
        <f t="shared" si="1"/>
        <v>14</v>
      </c>
      <c r="O11" s="9"/>
    </row>
    <row r="12" spans="2:15" ht="15">
      <c r="B12" s="697" t="s">
        <v>4502</v>
      </c>
      <c r="C12" s="584">
        <v>163</v>
      </c>
      <c r="D12" s="584">
        <v>432</v>
      </c>
      <c r="E12" s="672">
        <f t="shared" si="0"/>
        <v>37.731481481481481</v>
      </c>
      <c r="F12" s="584"/>
      <c r="G12" s="584" t="s">
        <v>4841</v>
      </c>
      <c r="H12" s="697" t="s">
        <v>4852</v>
      </c>
      <c r="I12" s="698">
        <v>2023</v>
      </c>
      <c r="J12" s="473" t="s">
        <v>5004</v>
      </c>
      <c r="K12" s="702"/>
      <c r="L12" s="586"/>
      <c r="M12" s="348"/>
      <c r="N12" s="281">
        <f t="shared" si="1"/>
        <v>14</v>
      </c>
      <c r="O12" s="9"/>
    </row>
    <row r="13" spans="2:15" ht="15">
      <c r="B13" s="474"/>
      <c r="C13" s="473"/>
      <c r="D13" s="584"/>
      <c r="E13" s="672" t="e">
        <f t="shared" si="0"/>
        <v>#DIV/0!</v>
      </c>
      <c r="F13" s="473"/>
      <c r="G13" s="473"/>
      <c r="H13" s="474" t="s">
        <v>4924</v>
      </c>
      <c r="I13" s="312"/>
      <c r="J13" s="473" t="s">
        <v>4111</v>
      </c>
      <c r="K13" s="310"/>
      <c r="L13" s="586"/>
      <c r="M13" s="348"/>
      <c r="N13" s="281">
        <f t="shared" si="1"/>
        <v>14</v>
      </c>
      <c r="O13" s="9"/>
    </row>
    <row r="14" spans="2:15" ht="15">
      <c r="B14" s="727" t="s">
        <v>4502</v>
      </c>
      <c r="C14" s="584">
        <v>47</v>
      </c>
      <c r="D14" s="584">
        <v>270</v>
      </c>
      <c r="E14" s="672">
        <f t="shared" si="0"/>
        <v>17.407407407407408</v>
      </c>
      <c r="F14" s="584"/>
      <c r="G14" s="700"/>
      <c r="H14" s="474" t="s">
        <v>5123</v>
      </c>
      <c r="I14" s="312">
        <v>2024</v>
      </c>
      <c r="J14" s="473" t="s">
        <v>4111</v>
      </c>
      <c r="K14" s="585"/>
      <c r="L14" s="586"/>
      <c r="M14" s="348"/>
      <c r="N14" s="281">
        <f t="shared" si="1"/>
        <v>14</v>
      </c>
      <c r="O14" s="9"/>
    </row>
    <row r="15" spans="2:15" ht="15">
      <c r="B15" s="727" t="s">
        <v>4502</v>
      </c>
      <c r="C15" s="584">
        <v>25</v>
      </c>
      <c r="D15" s="584">
        <v>404</v>
      </c>
      <c r="E15" s="672">
        <f t="shared" si="0"/>
        <v>6.1881188118811883</v>
      </c>
      <c r="F15" s="584"/>
      <c r="G15" s="441"/>
      <c r="H15" s="474" t="s">
        <v>5124</v>
      </c>
      <c r="I15" s="312">
        <v>2023</v>
      </c>
      <c r="J15" s="473" t="s">
        <v>4111</v>
      </c>
      <c r="K15" s="330"/>
      <c r="L15" s="586"/>
      <c r="M15" s="312"/>
      <c r="N15" s="281">
        <f t="shared" si="1"/>
        <v>14</v>
      </c>
      <c r="O15" s="589"/>
    </row>
    <row r="16" spans="2:15" ht="15">
      <c r="B16" s="727"/>
      <c r="C16" s="584"/>
      <c r="D16" s="584"/>
      <c r="E16" s="672" t="e">
        <f t="shared" si="0"/>
        <v>#DIV/0!</v>
      </c>
      <c r="F16" s="584"/>
      <c r="G16" s="473"/>
      <c r="H16" s="474"/>
      <c r="I16" s="312"/>
      <c r="J16" s="473"/>
      <c r="K16" s="330"/>
      <c r="L16" s="586"/>
      <c r="M16" s="312"/>
      <c r="N16" s="281">
        <f t="shared" si="1"/>
        <v>14</v>
      </c>
      <c r="O16" s="561"/>
    </row>
    <row r="17" spans="1:15" ht="15">
      <c r="B17" s="727"/>
      <c r="C17" s="584"/>
      <c r="D17" s="584"/>
      <c r="E17" s="672" t="e">
        <f t="shared" si="0"/>
        <v>#DIV/0!</v>
      </c>
      <c r="F17" s="584"/>
      <c r="G17" s="473"/>
      <c r="H17" s="474"/>
      <c r="I17" s="312"/>
      <c r="J17" s="473"/>
      <c r="K17" s="310"/>
      <c r="L17" s="586"/>
      <c r="M17" s="312"/>
      <c r="N17" s="281">
        <f t="shared" si="1"/>
        <v>14</v>
      </c>
      <c r="O17" s="561"/>
    </row>
    <row r="18" spans="1:15" ht="15">
      <c r="B18" s="727"/>
      <c r="C18" s="584"/>
      <c r="D18" s="584"/>
      <c r="E18" s="672"/>
      <c r="F18" s="584"/>
      <c r="G18" s="473"/>
      <c r="H18" s="474"/>
      <c r="I18" s="312"/>
      <c r="J18" s="473"/>
      <c r="K18" s="310"/>
      <c r="L18" s="586"/>
      <c r="M18" s="312"/>
      <c r="N18" s="281">
        <f t="shared" si="1"/>
        <v>14</v>
      </c>
      <c r="O18" s="561"/>
    </row>
    <row r="19" spans="1:15" ht="15">
      <c r="B19" s="727"/>
      <c r="C19" s="584"/>
      <c r="D19" s="584"/>
      <c r="E19" s="672" t="e">
        <f t="shared" ref="E19:E26" si="2">(C19/D19)*100</f>
        <v>#DIV/0!</v>
      </c>
      <c r="F19" s="584"/>
      <c r="G19" s="473"/>
      <c r="H19" s="474"/>
      <c r="I19" s="312"/>
      <c r="J19" s="473"/>
      <c r="K19" s="310"/>
      <c r="L19" s="586"/>
      <c r="M19" s="312"/>
      <c r="N19" s="281">
        <f t="shared" si="1"/>
        <v>14</v>
      </c>
      <c r="O19" s="9"/>
    </row>
    <row r="20" spans="1:15" ht="15">
      <c r="B20" s="727"/>
      <c r="C20" s="584"/>
      <c r="D20" s="584"/>
      <c r="E20" s="672" t="e">
        <f t="shared" si="2"/>
        <v>#DIV/0!</v>
      </c>
      <c r="F20" s="584"/>
      <c r="G20" s="473"/>
      <c r="H20" s="474"/>
      <c r="I20" s="312"/>
      <c r="J20" s="473"/>
      <c r="K20" s="310"/>
      <c r="L20" s="586"/>
      <c r="M20" s="312"/>
      <c r="N20" s="281">
        <f t="shared" si="1"/>
        <v>14</v>
      </c>
      <c r="O20" s="9"/>
    </row>
    <row r="21" spans="1:15" ht="15">
      <c r="B21" s="727"/>
      <c r="C21" s="584"/>
      <c r="D21" s="584"/>
      <c r="E21" s="672" t="e">
        <f t="shared" si="2"/>
        <v>#DIV/0!</v>
      </c>
      <c r="F21" s="584"/>
      <c r="G21" s="473"/>
      <c r="H21" s="474"/>
      <c r="I21" s="312"/>
      <c r="J21" s="473"/>
      <c r="K21" s="310"/>
      <c r="L21" s="586"/>
      <c r="M21" s="312"/>
      <c r="N21" s="281">
        <f t="shared" si="1"/>
        <v>14</v>
      </c>
      <c r="O21" s="9"/>
    </row>
    <row r="22" spans="1:15" ht="15">
      <c r="B22" s="727"/>
      <c r="C22" s="584"/>
      <c r="D22" s="584"/>
      <c r="E22" s="672" t="e">
        <f t="shared" si="2"/>
        <v>#DIV/0!</v>
      </c>
      <c r="F22" s="584"/>
      <c r="G22" s="473"/>
      <c r="H22" s="474"/>
      <c r="I22" s="312"/>
      <c r="J22" s="473"/>
      <c r="K22" s="310"/>
      <c r="L22" s="586"/>
      <c r="M22" s="312"/>
      <c r="N22" s="281">
        <f t="shared" si="1"/>
        <v>14</v>
      </c>
      <c r="O22" s="9"/>
    </row>
    <row r="23" spans="1:15" ht="15">
      <c r="B23" s="727"/>
      <c r="C23" s="584"/>
      <c r="D23" s="584"/>
      <c r="E23" s="672" t="e">
        <f t="shared" si="2"/>
        <v>#DIV/0!</v>
      </c>
      <c r="F23" s="584"/>
      <c r="G23" s="473"/>
      <c r="H23" s="474"/>
      <c r="I23" s="312"/>
      <c r="J23" s="473"/>
      <c r="K23" s="310"/>
      <c r="L23" s="586"/>
      <c r="M23" s="312"/>
      <c r="N23" s="281">
        <f t="shared" si="1"/>
        <v>14</v>
      </c>
      <c r="O23" s="9"/>
    </row>
    <row r="24" spans="1:15" ht="15">
      <c r="B24" s="727"/>
      <c r="C24" s="584"/>
      <c r="D24" s="584"/>
      <c r="E24" s="672" t="e">
        <f t="shared" si="2"/>
        <v>#DIV/0!</v>
      </c>
      <c r="F24" s="584"/>
      <c r="G24" s="473"/>
      <c r="H24" s="474"/>
      <c r="I24" s="312"/>
      <c r="J24" s="473"/>
      <c r="K24" s="310"/>
      <c r="L24" s="586"/>
      <c r="M24" s="312"/>
      <c r="N24" s="281">
        <f t="shared" si="1"/>
        <v>14</v>
      </c>
      <c r="O24" s="9"/>
    </row>
    <row r="25" spans="1:15" ht="15">
      <c r="B25" s="474"/>
      <c r="C25" s="473"/>
      <c r="D25" s="584"/>
      <c r="E25" s="672" t="e">
        <f t="shared" si="2"/>
        <v>#DIV/0!</v>
      </c>
      <c r="F25" s="473"/>
      <c r="G25" s="473"/>
      <c r="H25" s="474"/>
      <c r="I25" s="312"/>
      <c r="J25" s="473"/>
      <c r="K25" s="310"/>
      <c r="L25" s="586"/>
      <c r="M25" s="348"/>
      <c r="N25" s="281">
        <f t="shared" si="1"/>
        <v>14</v>
      </c>
      <c r="O25" s="173"/>
    </row>
    <row r="26" spans="1:15" ht="15">
      <c r="B26" s="577"/>
      <c r="C26" s="578"/>
      <c r="D26" s="578"/>
      <c r="E26" s="671" t="e">
        <f t="shared" si="2"/>
        <v>#DIV/0!</v>
      </c>
      <c r="F26" s="578"/>
      <c r="G26" s="578"/>
      <c r="H26" s="577"/>
      <c r="I26" s="562"/>
      <c r="J26" s="498"/>
      <c r="K26" s="173"/>
      <c r="L26" s="281"/>
      <c r="M26" s="8"/>
      <c r="N26" s="281">
        <f t="shared" si="1"/>
        <v>14</v>
      </c>
      <c r="O26" s="9"/>
    </row>
    <row r="27" spans="1:15" ht="15">
      <c r="A27" s="3">
        <v>1</v>
      </c>
      <c r="B27" s="474" t="s">
        <v>1890</v>
      </c>
      <c r="C27" s="473">
        <v>172</v>
      </c>
      <c r="D27" s="584">
        <v>351</v>
      </c>
      <c r="E27" s="672">
        <f t="shared" ref="E27:E44" si="3">(C27/D27)*100</f>
        <v>49.002849002849004</v>
      </c>
      <c r="F27" s="473"/>
      <c r="G27" s="473" t="s">
        <v>4841</v>
      </c>
      <c r="H27" s="474" t="s">
        <v>5015</v>
      </c>
      <c r="I27" s="312">
        <v>2023</v>
      </c>
      <c r="J27" s="473" t="s">
        <v>4111</v>
      </c>
      <c r="K27" s="310"/>
      <c r="L27" s="586"/>
      <c r="M27" s="348"/>
      <c r="N27" s="281">
        <f t="shared" ref="N27:N44" si="4">IF(M27="O",L27+21,L27+14)</f>
        <v>14</v>
      </c>
      <c r="O27" s="173"/>
    </row>
    <row r="28" spans="1:15" ht="15">
      <c r="A28" s="3">
        <v>2</v>
      </c>
      <c r="B28" s="697" t="s">
        <v>4502</v>
      </c>
      <c r="C28" s="584">
        <v>163</v>
      </c>
      <c r="D28" s="584">
        <v>432</v>
      </c>
      <c r="E28" s="672">
        <f t="shared" si="3"/>
        <v>37.731481481481481</v>
      </c>
      <c r="F28" s="584"/>
      <c r="G28" s="584" t="s">
        <v>4841</v>
      </c>
      <c r="H28" s="697" t="s">
        <v>4852</v>
      </c>
      <c r="I28" s="698">
        <v>2023</v>
      </c>
      <c r="J28" s="473" t="s">
        <v>5004</v>
      </c>
      <c r="K28" s="310"/>
      <c r="L28" s="586"/>
      <c r="M28" s="312"/>
      <c r="N28" s="281">
        <f t="shared" si="4"/>
        <v>14</v>
      </c>
      <c r="O28" s="9"/>
    </row>
    <row r="29" spans="1:15" ht="15.6">
      <c r="A29" s="3">
        <v>3</v>
      </c>
      <c r="B29" s="727" t="s">
        <v>4502</v>
      </c>
      <c r="C29" s="584">
        <v>45</v>
      </c>
      <c r="D29" s="584">
        <v>535</v>
      </c>
      <c r="E29" s="672">
        <f t="shared" si="3"/>
        <v>8.4112149532710276</v>
      </c>
      <c r="F29" s="584"/>
      <c r="G29" s="441" t="s">
        <v>4841</v>
      </c>
      <c r="H29" s="474" t="s">
        <v>5185</v>
      </c>
      <c r="I29" s="312">
        <v>2018</v>
      </c>
      <c r="J29" s="473" t="s">
        <v>4111</v>
      </c>
      <c r="K29" s="310" t="s">
        <v>5186</v>
      </c>
      <c r="L29" s="586"/>
      <c r="M29" s="312"/>
      <c r="N29" s="281">
        <f t="shared" si="4"/>
        <v>14</v>
      </c>
      <c r="O29" s="613"/>
    </row>
    <row r="30" spans="1:15" ht="15">
      <c r="A30" s="3">
        <v>4</v>
      </c>
      <c r="B30" s="727" t="s">
        <v>4502</v>
      </c>
      <c r="C30" s="584">
        <v>72</v>
      </c>
      <c r="D30" s="584">
        <v>585</v>
      </c>
      <c r="E30" s="672">
        <f t="shared" si="3"/>
        <v>12.307692307692308</v>
      </c>
      <c r="F30" s="584"/>
      <c r="G30" s="441"/>
      <c r="H30" s="474" t="s">
        <v>5170</v>
      </c>
      <c r="I30" s="312">
        <v>2024</v>
      </c>
      <c r="J30" s="473" t="s">
        <v>5171</v>
      </c>
      <c r="K30" s="310"/>
      <c r="L30" s="586"/>
      <c r="M30" s="312"/>
      <c r="N30" s="281">
        <f t="shared" si="4"/>
        <v>14</v>
      </c>
      <c r="O30" s="561"/>
    </row>
    <row r="31" spans="1:15" ht="15.6">
      <c r="A31" s="3">
        <v>5</v>
      </c>
      <c r="B31" s="474" t="s">
        <v>3922</v>
      </c>
      <c r="C31" s="473">
        <v>338</v>
      </c>
      <c r="D31" s="584">
        <v>416</v>
      </c>
      <c r="E31" s="672">
        <f t="shared" si="3"/>
        <v>81.25</v>
      </c>
      <c r="F31" s="473"/>
      <c r="G31" s="441" t="s">
        <v>4830</v>
      </c>
      <c r="H31" s="474" t="s">
        <v>5006</v>
      </c>
      <c r="I31" s="312">
        <v>2022</v>
      </c>
      <c r="J31" s="473" t="s">
        <v>4111</v>
      </c>
      <c r="K31" s="702"/>
      <c r="L31" s="586"/>
      <c r="M31" s="348"/>
      <c r="N31" s="281">
        <f t="shared" si="4"/>
        <v>14</v>
      </c>
      <c r="O31" s="649"/>
    </row>
    <row r="32" spans="1:15" ht="15">
      <c r="A32" s="3">
        <v>6</v>
      </c>
      <c r="B32" s="727" t="s">
        <v>3922</v>
      </c>
      <c r="C32" s="584">
        <v>234</v>
      </c>
      <c r="D32" s="584">
        <v>303</v>
      </c>
      <c r="E32" s="672">
        <f t="shared" si="3"/>
        <v>77.227722772277232</v>
      </c>
      <c r="F32" s="584"/>
      <c r="G32" s="441" t="s">
        <v>4925</v>
      </c>
      <c r="H32" s="474" t="s">
        <v>5232</v>
      </c>
      <c r="I32" s="312">
        <v>2021</v>
      </c>
      <c r="J32" s="473" t="s">
        <v>4111</v>
      </c>
      <c r="K32" s="310"/>
      <c r="L32" s="586"/>
      <c r="M32" s="312"/>
      <c r="N32" s="281">
        <f t="shared" si="4"/>
        <v>14</v>
      </c>
      <c r="O32" s="621"/>
    </row>
    <row r="33" spans="1:15" ht="15">
      <c r="A33" s="3">
        <v>7</v>
      </c>
      <c r="B33" s="727" t="s">
        <v>4502</v>
      </c>
      <c r="C33" s="584">
        <v>39</v>
      </c>
      <c r="D33" s="584">
        <v>243</v>
      </c>
      <c r="E33" s="672">
        <f t="shared" si="3"/>
        <v>16.049382716049383</v>
      </c>
      <c r="F33" s="584"/>
      <c r="G33" s="729" t="s">
        <v>4925</v>
      </c>
      <c r="H33" s="474" t="s">
        <v>5125</v>
      </c>
      <c r="I33" s="312">
        <v>2024</v>
      </c>
      <c r="J33" s="473" t="s">
        <v>4111</v>
      </c>
      <c r="K33" s="330"/>
      <c r="L33" s="586"/>
      <c r="M33" s="312"/>
      <c r="N33" s="281">
        <f t="shared" si="4"/>
        <v>14</v>
      </c>
      <c r="O33" s="9"/>
    </row>
    <row r="34" spans="1:15" ht="15.6">
      <c r="A34" s="3">
        <v>8</v>
      </c>
      <c r="B34" s="604" t="s">
        <v>1890</v>
      </c>
      <c r="C34" s="605">
        <v>26</v>
      </c>
      <c r="D34" s="605">
        <v>293</v>
      </c>
      <c r="E34" s="670">
        <f t="shared" si="3"/>
        <v>8.8737201365187719</v>
      </c>
      <c r="F34" s="605"/>
      <c r="G34" s="605" t="s">
        <v>1318</v>
      </c>
      <c r="H34" s="604" t="s">
        <v>5258</v>
      </c>
      <c r="I34" s="606">
        <v>2025</v>
      </c>
      <c r="J34" s="470" t="s">
        <v>4096</v>
      </c>
      <c r="K34" s="295" t="s">
        <v>5259</v>
      </c>
      <c r="L34" s="300">
        <v>46054</v>
      </c>
      <c r="M34" s="296" t="s">
        <v>5270</v>
      </c>
      <c r="N34" s="281">
        <f t="shared" si="4"/>
        <v>46075</v>
      </c>
      <c r="O34" s="649"/>
    </row>
    <row r="35" spans="1:15" ht="15">
      <c r="A35" s="3">
        <v>9</v>
      </c>
      <c r="B35" s="609" t="s">
        <v>5263</v>
      </c>
      <c r="C35" s="610"/>
      <c r="D35" s="610"/>
      <c r="E35" s="673" t="e">
        <f t="shared" si="3"/>
        <v>#DIV/0!</v>
      </c>
      <c r="F35" s="610"/>
      <c r="G35" s="610" t="s">
        <v>5262</v>
      </c>
      <c r="H35" s="609" t="s">
        <v>5260</v>
      </c>
      <c r="I35" s="611">
        <v>2024</v>
      </c>
      <c r="J35" s="441" t="s">
        <v>5261</v>
      </c>
      <c r="K35" s="244"/>
      <c r="L35" s="284"/>
      <c r="M35" s="242"/>
      <c r="N35" s="281">
        <f t="shared" si="4"/>
        <v>14</v>
      </c>
      <c r="O35" s="632"/>
    </row>
    <row r="36" spans="1:15" ht="15">
      <c r="A36" s="3">
        <v>10</v>
      </c>
      <c r="B36" s="577" t="s">
        <v>5266</v>
      </c>
      <c r="C36" s="578"/>
      <c r="D36" s="578"/>
      <c r="E36" s="671" t="e">
        <f t="shared" si="3"/>
        <v>#DIV/0!</v>
      </c>
      <c r="F36" s="578"/>
      <c r="G36" s="578" t="s">
        <v>5265</v>
      </c>
      <c r="H36" s="577" t="s">
        <v>5264</v>
      </c>
      <c r="I36" s="562">
        <v>2025</v>
      </c>
      <c r="J36" s="498" t="s">
        <v>5261</v>
      </c>
      <c r="K36" s="173"/>
      <c r="L36" s="281"/>
      <c r="M36" s="172"/>
      <c r="N36" s="281">
        <f t="shared" si="4"/>
        <v>14</v>
      </c>
      <c r="O36" s="632"/>
    </row>
    <row r="37" spans="1:15" ht="15">
      <c r="A37" s="3">
        <v>11</v>
      </c>
      <c r="B37" s="697" t="s">
        <v>1890</v>
      </c>
      <c r="C37" s="584">
        <v>13</v>
      </c>
      <c r="D37" s="584">
        <v>296</v>
      </c>
      <c r="E37" s="672">
        <f t="shared" si="3"/>
        <v>4.3918918918918921</v>
      </c>
      <c r="F37" s="584"/>
      <c r="G37" s="584"/>
      <c r="H37" s="697" t="s">
        <v>5267</v>
      </c>
      <c r="I37" s="698">
        <v>2026</v>
      </c>
      <c r="J37" s="473" t="s">
        <v>5268</v>
      </c>
      <c r="K37" s="310"/>
      <c r="L37" s="586"/>
      <c r="M37" s="312"/>
      <c r="N37" s="281">
        <f t="shared" si="4"/>
        <v>14</v>
      </c>
      <c r="O37" s="632"/>
    </row>
    <row r="38" spans="1:15" ht="15">
      <c r="A38" s="3">
        <v>12</v>
      </c>
      <c r="B38" s="697" t="s">
        <v>1890</v>
      </c>
      <c r="C38" s="584">
        <v>11</v>
      </c>
      <c r="D38" s="584">
        <v>271</v>
      </c>
      <c r="E38" s="672">
        <f t="shared" si="3"/>
        <v>4.0590405904059041</v>
      </c>
      <c r="F38" s="584"/>
      <c r="G38" s="584"/>
      <c r="H38" s="697" t="s">
        <v>5269</v>
      </c>
      <c r="I38" s="698">
        <v>2026</v>
      </c>
      <c r="J38" s="473" t="s">
        <v>5268</v>
      </c>
      <c r="K38" s="310"/>
      <c r="L38" s="586"/>
      <c r="M38" s="312"/>
      <c r="N38" s="281">
        <f t="shared" si="4"/>
        <v>14</v>
      </c>
      <c r="O38" s="632"/>
    </row>
    <row r="39" spans="1:15" ht="15.6">
      <c r="A39" s="3">
        <v>13</v>
      </c>
      <c r="B39" s="577" t="s">
        <v>1890</v>
      </c>
      <c r="C39" s="578"/>
      <c r="D39" s="578">
        <v>338</v>
      </c>
      <c r="E39" s="671">
        <f t="shared" si="3"/>
        <v>0</v>
      </c>
      <c r="F39" s="578"/>
      <c r="G39" s="578"/>
      <c r="H39" s="577" t="s">
        <v>5271</v>
      </c>
      <c r="I39" s="562">
        <v>2026</v>
      </c>
      <c r="J39" s="498" t="s">
        <v>5272</v>
      </c>
      <c r="K39" s="173" t="s">
        <v>5273</v>
      </c>
      <c r="L39" s="281">
        <v>46095</v>
      </c>
      <c r="M39" s="172" t="s">
        <v>5274</v>
      </c>
      <c r="N39" s="281">
        <f t="shared" ref="N39" si="5">IF(M39="O",L39+21,L39+14)</f>
        <v>46116</v>
      </c>
      <c r="O39" s="561"/>
    </row>
    <row r="40" spans="1:15" ht="15.6">
      <c r="A40" s="3">
        <v>14</v>
      </c>
      <c r="B40" s="577" t="s">
        <v>1890</v>
      </c>
      <c r="C40" s="578">
        <v>3</v>
      </c>
      <c r="D40" s="578">
        <v>351</v>
      </c>
      <c r="E40" s="671">
        <f t="shared" si="3"/>
        <v>0.85470085470085477</v>
      </c>
      <c r="F40" s="578"/>
      <c r="G40" s="578"/>
      <c r="H40" s="577" t="s">
        <v>5275</v>
      </c>
      <c r="I40" s="562">
        <v>2026</v>
      </c>
      <c r="J40" s="498" t="s">
        <v>5272</v>
      </c>
      <c r="K40" s="173" t="s">
        <v>5276</v>
      </c>
      <c r="L40" s="281">
        <v>46095</v>
      </c>
      <c r="M40" s="172" t="s">
        <v>5274</v>
      </c>
      <c r="N40" s="281">
        <f t="shared" si="4"/>
        <v>46116</v>
      </c>
      <c r="O40" s="706"/>
    </row>
    <row r="41" spans="1:15" ht="15.6">
      <c r="A41" s="3">
        <v>15</v>
      </c>
      <c r="B41" s="577" t="s">
        <v>1890</v>
      </c>
      <c r="C41" s="578"/>
      <c r="D41" s="578">
        <v>275</v>
      </c>
      <c r="E41" s="671">
        <f t="shared" si="3"/>
        <v>0</v>
      </c>
      <c r="F41" s="578"/>
      <c r="G41" s="578"/>
      <c r="H41" s="577" t="s">
        <v>5277</v>
      </c>
      <c r="I41" s="562">
        <v>2025</v>
      </c>
      <c r="J41" s="498" t="s">
        <v>5272</v>
      </c>
      <c r="K41" s="173" t="s">
        <v>5278</v>
      </c>
      <c r="L41" s="281">
        <v>46095</v>
      </c>
      <c r="M41" s="172" t="s">
        <v>5274</v>
      </c>
      <c r="N41" s="281">
        <f t="shared" si="4"/>
        <v>46116</v>
      </c>
      <c r="O41" s="632"/>
    </row>
    <row r="42" spans="1:15" ht="15">
      <c r="A42" s="3">
        <v>16</v>
      </c>
      <c r="B42" s="577"/>
      <c r="C42" s="578"/>
      <c r="D42" s="578"/>
      <c r="E42" s="671" t="e">
        <f t="shared" si="3"/>
        <v>#DIV/0!</v>
      </c>
      <c r="F42" s="578"/>
      <c r="G42" s="578"/>
      <c r="H42" s="577"/>
      <c r="I42" s="562"/>
      <c r="J42" s="498"/>
      <c r="K42" s="173"/>
      <c r="L42" s="281"/>
      <c r="M42" s="8"/>
      <c r="N42" s="281">
        <f t="shared" si="4"/>
        <v>14</v>
      </c>
      <c r="O42" s="682"/>
    </row>
    <row r="43" spans="1:15" ht="15">
      <c r="A43" s="3">
        <v>17</v>
      </c>
      <c r="B43" s="577"/>
      <c r="C43" s="578"/>
      <c r="D43" s="578"/>
      <c r="E43" s="671" t="e">
        <f t="shared" si="3"/>
        <v>#DIV/0!</v>
      </c>
      <c r="F43" s="578"/>
      <c r="G43" s="578"/>
      <c r="H43" s="577"/>
      <c r="I43" s="562"/>
      <c r="J43" s="498"/>
      <c r="K43" s="173"/>
      <c r="L43" s="281"/>
      <c r="M43" s="8"/>
      <c r="N43" s="281">
        <f t="shared" si="4"/>
        <v>14</v>
      </c>
      <c r="O43" s="561"/>
    </row>
    <row r="44" spans="1:15" ht="15">
      <c r="A44" s="3">
        <v>18</v>
      </c>
      <c r="B44" s="577"/>
      <c r="C44" s="578"/>
      <c r="D44" s="578"/>
      <c r="E44" s="671" t="e">
        <f t="shared" si="3"/>
        <v>#DIV/0!</v>
      </c>
      <c r="F44" s="578"/>
      <c r="G44" s="578"/>
      <c r="H44" s="577"/>
      <c r="I44" s="562"/>
      <c r="J44" s="498"/>
      <c r="K44" s="173"/>
      <c r="L44" s="281"/>
      <c r="M44" s="8"/>
      <c r="N44" s="281">
        <f t="shared" si="4"/>
        <v>14</v>
      </c>
      <c r="O44" s="561"/>
    </row>
    <row r="45" spans="1:15" ht="15">
      <c r="A45" s="3">
        <v>19</v>
      </c>
      <c r="B45" s="577"/>
      <c r="C45" s="578"/>
      <c r="D45" s="578"/>
      <c r="E45" s="671" t="e">
        <f t="shared" ref="E45:E108" si="6">(C45/D45)*100</f>
        <v>#DIV/0!</v>
      </c>
      <c r="F45" s="578"/>
      <c r="G45" s="578"/>
      <c r="H45" s="577"/>
      <c r="I45" s="562"/>
      <c r="J45" s="498"/>
      <c r="K45" s="173"/>
      <c r="L45" s="281"/>
      <c r="M45" s="8"/>
      <c r="N45" s="281">
        <f t="shared" ref="N45:N108" si="7">IF(M45="O",L45+21,L45+14)</f>
        <v>14</v>
      </c>
      <c r="O45" s="632"/>
    </row>
    <row r="46" spans="1:15" ht="15">
      <c r="A46" s="3">
        <v>20</v>
      </c>
      <c r="B46" s="577"/>
      <c r="C46" s="578"/>
      <c r="D46" s="578"/>
      <c r="E46" s="671" t="e">
        <f t="shared" si="6"/>
        <v>#DIV/0!</v>
      </c>
      <c r="F46" s="578"/>
      <c r="G46" s="578"/>
      <c r="H46" s="577"/>
      <c r="I46" s="562"/>
      <c r="J46" s="498"/>
      <c r="K46" s="173"/>
      <c r="L46" s="281"/>
      <c r="M46" s="8"/>
      <c r="N46" s="281">
        <f t="shared" si="7"/>
        <v>14</v>
      </c>
      <c r="O46" s="561"/>
    </row>
    <row r="47" spans="1:15" ht="15">
      <c r="A47" s="3">
        <v>21</v>
      </c>
      <c r="B47" s="577"/>
      <c r="C47" s="578"/>
      <c r="D47" s="578"/>
      <c r="E47" s="671" t="e">
        <f t="shared" si="6"/>
        <v>#DIV/0!</v>
      </c>
      <c r="F47" s="578"/>
      <c r="G47" s="578"/>
      <c r="H47" s="577"/>
      <c r="I47" s="562"/>
      <c r="J47" s="498"/>
      <c r="K47" s="173"/>
      <c r="L47" s="281"/>
      <c r="M47" s="8"/>
      <c r="N47" s="281">
        <f t="shared" si="7"/>
        <v>14</v>
      </c>
      <c r="O47" s="561"/>
    </row>
    <row r="48" spans="1:15" ht="15">
      <c r="A48" s="3">
        <v>22</v>
      </c>
      <c r="B48" s="577"/>
      <c r="C48" s="578"/>
      <c r="D48" s="578"/>
      <c r="E48" s="671" t="e">
        <f t="shared" si="6"/>
        <v>#DIV/0!</v>
      </c>
      <c r="F48" s="578"/>
      <c r="G48" s="578"/>
      <c r="H48" s="577"/>
      <c r="I48" s="562"/>
      <c r="J48" s="498"/>
      <c r="K48" s="173"/>
      <c r="L48" s="281"/>
      <c r="M48" s="8"/>
      <c r="N48" s="281">
        <f t="shared" si="7"/>
        <v>14</v>
      </c>
      <c r="O48" s="561"/>
    </row>
    <row r="49" spans="1:15" ht="15">
      <c r="A49" s="3">
        <v>23</v>
      </c>
      <c r="B49" s="577"/>
      <c r="C49" s="578"/>
      <c r="D49" s="578"/>
      <c r="E49" s="671" t="e">
        <f t="shared" si="6"/>
        <v>#DIV/0!</v>
      </c>
      <c r="F49" s="578"/>
      <c r="G49" s="578"/>
      <c r="H49" s="577"/>
      <c r="I49" s="562"/>
      <c r="J49" s="498"/>
      <c r="K49" s="173"/>
      <c r="L49" s="281"/>
      <c r="M49" s="8"/>
      <c r="N49" s="281">
        <f t="shared" si="7"/>
        <v>14</v>
      </c>
      <c r="O49" s="632"/>
    </row>
    <row r="50" spans="1:15" ht="15">
      <c r="A50" s="3">
        <v>24</v>
      </c>
      <c r="B50" s="577"/>
      <c r="C50" s="578"/>
      <c r="D50" s="578"/>
      <c r="E50" s="671" t="e">
        <f t="shared" si="6"/>
        <v>#DIV/0!</v>
      </c>
      <c r="F50" s="578"/>
      <c r="G50" s="578"/>
      <c r="H50" s="577"/>
      <c r="I50" s="562"/>
      <c r="J50" s="498"/>
      <c r="K50" s="173"/>
      <c r="L50" s="281"/>
      <c r="M50" s="8"/>
      <c r="N50" s="281">
        <f t="shared" si="7"/>
        <v>14</v>
      </c>
      <c r="O50" s="632"/>
    </row>
    <row r="51" spans="1:15" ht="15">
      <c r="A51" s="3">
        <v>25</v>
      </c>
      <c r="B51" s="577"/>
      <c r="C51" s="578"/>
      <c r="D51" s="578"/>
      <c r="E51" s="671" t="e">
        <f t="shared" si="6"/>
        <v>#DIV/0!</v>
      </c>
      <c r="F51" s="578"/>
      <c r="G51" s="578"/>
      <c r="H51" s="577"/>
      <c r="I51" s="562"/>
      <c r="J51" s="498"/>
      <c r="K51" s="173"/>
      <c r="L51" s="281"/>
      <c r="M51" s="8"/>
      <c r="N51" s="281">
        <f t="shared" si="7"/>
        <v>14</v>
      </c>
      <c r="O51" s="632"/>
    </row>
    <row r="52" spans="1:15" ht="15">
      <c r="A52" s="3">
        <v>26</v>
      </c>
      <c r="B52" s="577"/>
      <c r="C52" s="578"/>
      <c r="D52" s="578"/>
      <c r="E52" s="671" t="e">
        <f t="shared" si="6"/>
        <v>#DIV/0!</v>
      </c>
      <c r="F52" s="578"/>
      <c r="G52" s="578"/>
      <c r="H52" s="577"/>
      <c r="I52" s="562"/>
      <c r="J52" s="498"/>
      <c r="K52" s="173"/>
      <c r="L52" s="281"/>
      <c r="M52" s="8"/>
      <c r="N52" s="281">
        <f t="shared" si="7"/>
        <v>14</v>
      </c>
      <c r="O52" s="632"/>
    </row>
    <row r="53" spans="1:15" ht="15">
      <c r="A53" s="3">
        <v>27</v>
      </c>
      <c r="B53" s="577"/>
      <c r="C53" s="578"/>
      <c r="D53" s="578"/>
      <c r="E53" s="671" t="e">
        <f t="shared" si="6"/>
        <v>#DIV/0!</v>
      </c>
      <c r="F53" s="578"/>
      <c r="G53" s="578"/>
      <c r="H53" s="577"/>
      <c r="I53" s="562"/>
      <c r="J53" s="498"/>
      <c r="K53" s="173"/>
      <c r="L53" s="281"/>
      <c r="M53" s="8"/>
      <c r="N53" s="281">
        <f t="shared" si="7"/>
        <v>14</v>
      </c>
      <c r="O53" s="632"/>
    </row>
    <row r="54" spans="1:15" ht="15">
      <c r="A54" s="3">
        <v>28</v>
      </c>
      <c r="B54" s="577"/>
      <c r="C54" s="578"/>
      <c r="D54" s="578"/>
      <c r="E54" s="671" t="e">
        <f t="shared" si="6"/>
        <v>#DIV/0!</v>
      </c>
      <c r="F54" s="578"/>
      <c r="G54" s="578"/>
      <c r="H54" s="577"/>
      <c r="I54" s="562"/>
      <c r="J54" s="498"/>
      <c r="K54" s="173"/>
      <c r="L54" s="281"/>
      <c r="M54" s="8"/>
      <c r="N54" s="281">
        <f t="shared" si="7"/>
        <v>14</v>
      </c>
      <c r="O54" s="632"/>
    </row>
    <row r="55" spans="1:15" ht="15">
      <c r="A55" s="3">
        <v>29</v>
      </c>
      <c r="B55" s="577"/>
      <c r="C55" s="578"/>
      <c r="D55" s="578"/>
      <c r="E55" s="671" t="e">
        <f t="shared" si="6"/>
        <v>#DIV/0!</v>
      </c>
      <c r="F55" s="578"/>
      <c r="G55" s="578"/>
      <c r="H55" s="577"/>
      <c r="I55" s="562"/>
      <c r="J55" s="498"/>
      <c r="K55" s="173"/>
      <c r="L55" s="281"/>
      <c r="M55" s="8"/>
      <c r="N55" s="281">
        <f t="shared" si="7"/>
        <v>14</v>
      </c>
      <c r="O55" s="632"/>
    </row>
    <row r="56" spans="1:15" ht="15">
      <c r="A56" s="3">
        <v>30</v>
      </c>
      <c r="B56" s="577"/>
      <c r="C56" s="578"/>
      <c r="D56" s="578"/>
      <c r="E56" s="671" t="e">
        <f t="shared" si="6"/>
        <v>#DIV/0!</v>
      </c>
      <c r="F56" s="578"/>
      <c r="G56" s="578"/>
      <c r="H56" s="577"/>
      <c r="I56" s="562"/>
      <c r="J56" s="498"/>
      <c r="K56" s="173"/>
      <c r="L56" s="281"/>
      <c r="M56" s="8"/>
      <c r="N56" s="281">
        <f t="shared" si="7"/>
        <v>14</v>
      </c>
      <c r="O56" s="632"/>
    </row>
    <row r="57" spans="1:15" ht="15">
      <c r="A57" s="3">
        <v>31</v>
      </c>
      <c r="B57" s="577"/>
      <c r="C57" s="578"/>
      <c r="D57" s="578"/>
      <c r="E57" s="671" t="e">
        <f t="shared" si="6"/>
        <v>#DIV/0!</v>
      </c>
      <c r="F57" s="578"/>
      <c r="G57" s="578"/>
      <c r="H57" s="577"/>
      <c r="I57" s="562"/>
      <c r="J57" s="498"/>
      <c r="K57" s="173"/>
      <c r="L57" s="281"/>
      <c r="M57" s="8"/>
      <c r="N57" s="281">
        <f t="shared" si="7"/>
        <v>14</v>
      </c>
      <c r="O57" s="632"/>
    </row>
    <row r="58" spans="1:15" ht="15">
      <c r="A58" s="3">
        <v>32</v>
      </c>
      <c r="B58" s="577"/>
      <c r="C58" s="578"/>
      <c r="D58" s="578"/>
      <c r="E58" s="671" t="e">
        <f t="shared" si="6"/>
        <v>#DIV/0!</v>
      </c>
      <c r="F58" s="578"/>
      <c r="G58" s="578"/>
      <c r="H58" s="577"/>
      <c r="I58" s="562"/>
      <c r="J58" s="498"/>
      <c r="K58" s="173"/>
      <c r="L58" s="281"/>
      <c r="M58" s="8"/>
      <c r="N58" s="281">
        <f t="shared" si="7"/>
        <v>14</v>
      </c>
      <c r="O58" s="632"/>
    </row>
    <row r="59" spans="1:15" ht="15">
      <c r="A59" s="3">
        <v>33</v>
      </c>
      <c r="B59" s="577"/>
      <c r="C59" s="578"/>
      <c r="D59" s="578"/>
      <c r="E59" s="671" t="e">
        <f t="shared" si="6"/>
        <v>#DIV/0!</v>
      </c>
      <c r="F59" s="578"/>
      <c r="G59" s="578"/>
      <c r="H59" s="577"/>
      <c r="I59" s="562"/>
      <c r="J59" s="498"/>
      <c r="K59" s="173"/>
      <c r="L59" s="281"/>
      <c r="M59" s="8"/>
      <c r="N59" s="281">
        <f t="shared" si="7"/>
        <v>14</v>
      </c>
      <c r="O59" s="632"/>
    </row>
    <row r="60" spans="1:15" ht="15">
      <c r="A60" s="3">
        <v>34</v>
      </c>
      <c r="B60" s="577"/>
      <c r="C60" s="578"/>
      <c r="D60" s="578"/>
      <c r="E60" s="671" t="e">
        <f t="shared" si="6"/>
        <v>#DIV/0!</v>
      </c>
      <c r="F60" s="578"/>
      <c r="G60" s="578"/>
      <c r="H60" s="577"/>
      <c r="I60" s="562"/>
      <c r="J60" s="498"/>
      <c r="K60" s="173"/>
      <c r="L60" s="281"/>
      <c r="M60" s="8"/>
      <c r="N60" s="281">
        <f t="shared" si="7"/>
        <v>14</v>
      </c>
      <c r="O60" s="632"/>
    </row>
    <row r="61" spans="1:15" ht="15">
      <c r="A61" s="3">
        <v>35</v>
      </c>
      <c r="B61" s="577"/>
      <c r="C61" s="578"/>
      <c r="D61" s="578"/>
      <c r="E61" s="671" t="e">
        <f t="shared" si="6"/>
        <v>#DIV/0!</v>
      </c>
      <c r="F61" s="578"/>
      <c r="G61" s="578"/>
      <c r="H61" s="577"/>
      <c r="I61" s="562"/>
      <c r="J61" s="498"/>
      <c r="K61" s="173"/>
      <c r="L61" s="281"/>
      <c r="M61" s="8"/>
      <c r="N61" s="281">
        <f t="shared" si="7"/>
        <v>14</v>
      </c>
      <c r="O61" s="632"/>
    </row>
    <row r="62" spans="1:15" ht="15">
      <c r="A62" s="3">
        <v>36</v>
      </c>
      <c r="B62" s="577"/>
      <c r="C62" s="578"/>
      <c r="D62" s="578"/>
      <c r="E62" s="671" t="e">
        <f t="shared" si="6"/>
        <v>#DIV/0!</v>
      </c>
      <c r="F62" s="578"/>
      <c r="G62" s="578"/>
      <c r="H62" s="577"/>
      <c r="I62" s="562"/>
      <c r="J62" s="498"/>
      <c r="K62" s="173"/>
      <c r="L62" s="281"/>
      <c r="M62" s="8"/>
      <c r="N62" s="281">
        <f t="shared" si="7"/>
        <v>14</v>
      </c>
      <c r="O62" s="561"/>
    </row>
    <row r="63" spans="1:15" ht="15">
      <c r="A63" s="3">
        <v>37</v>
      </c>
      <c r="B63" s="577"/>
      <c r="C63" s="578"/>
      <c r="D63" s="578"/>
      <c r="E63" s="671" t="e">
        <f t="shared" si="6"/>
        <v>#DIV/0!</v>
      </c>
      <c r="F63" s="578"/>
      <c r="G63" s="578"/>
      <c r="H63" s="577"/>
      <c r="I63" s="562"/>
      <c r="J63" s="498"/>
      <c r="K63" s="173"/>
      <c r="L63" s="281"/>
      <c r="M63" s="8"/>
      <c r="N63" s="281">
        <f t="shared" si="7"/>
        <v>14</v>
      </c>
      <c r="O63" s="561"/>
    </row>
    <row r="64" spans="1:15" ht="15">
      <c r="A64" s="3">
        <v>38</v>
      </c>
      <c r="B64" s="577"/>
      <c r="C64" s="578"/>
      <c r="D64" s="578"/>
      <c r="E64" s="671" t="e">
        <f t="shared" si="6"/>
        <v>#DIV/0!</v>
      </c>
      <c r="F64" s="578"/>
      <c r="G64" s="578"/>
      <c r="H64" s="577"/>
      <c r="I64" s="562"/>
      <c r="J64" s="498"/>
      <c r="K64" s="173"/>
      <c r="L64" s="281"/>
      <c r="M64" s="8"/>
      <c r="N64" s="281">
        <f t="shared" si="7"/>
        <v>14</v>
      </c>
      <c r="O64" s="561"/>
    </row>
    <row r="65" spans="1:15" ht="15">
      <c r="A65" s="3">
        <v>39</v>
      </c>
      <c r="B65" s="577"/>
      <c r="C65" s="578"/>
      <c r="D65" s="578"/>
      <c r="E65" s="671" t="e">
        <f t="shared" si="6"/>
        <v>#DIV/0!</v>
      </c>
      <c r="F65" s="578"/>
      <c r="G65" s="578"/>
      <c r="H65" s="577"/>
      <c r="I65" s="562"/>
      <c r="J65" s="498"/>
      <c r="K65" s="173"/>
      <c r="L65" s="281"/>
      <c r="M65" s="8"/>
      <c r="N65" s="281">
        <f t="shared" si="7"/>
        <v>14</v>
      </c>
      <c r="O65" s="9"/>
    </row>
    <row r="66" spans="1:15" ht="15">
      <c r="A66" s="3">
        <v>40</v>
      </c>
      <c r="B66" s="577"/>
      <c r="C66" s="578"/>
      <c r="D66" s="578"/>
      <c r="E66" s="671" t="e">
        <f t="shared" si="6"/>
        <v>#DIV/0!</v>
      </c>
      <c r="F66" s="578"/>
      <c r="G66" s="578"/>
      <c r="H66" s="577"/>
      <c r="I66" s="562"/>
      <c r="J66" s="498"/>
      <c r="K66" s="173"/>
      <c r="L66" s="281"/>
      <c r="M66" s="8"/>
      <c r="N66" s="281">
        <f t="shared" si="7"/>
        <v>14</v>
      </c>
      <c r="O66" s="9"/>
    </row>
    <row r="67" spans="1:15" ht="15">
      <c r="A67" s="3">
        <v>41</v>
      </c>
      <c r="B67" s="577"/>
      <c r="C67" s="578"/>
      <c r="D67" s="578"/>
      <c r="E67" s="671" t="e">
        <f t="shared" si="6"/>
        <v>#DIV/0!</v>
      </c>
      <c r="F67" s="578"/>
      <c r="G67" s="578"/>
      <c r="H67" s="577"/>
      <c r="I67" s="562"/>
      <c r="J67" s="498"/>
      <c r="K67" s="173"/>
      <c r="L67" s="281"/>
      <c r="M67" s="8"/>
      <c r="N67" s="281">
        <f t="shared" si="7"/>
        <v>14</v>
      </c>
      <c r="O67" s="9"/>
    </row>
    <row r="68" spans="1:15" ht="15">
      <c r="A68" s="3">
        <v>42</v>
      </c>
      <c r="B68" s="577"/>
      <c r="C68" s="578"/>
      <c r="D68" s="578"/>
      <c r="E68" s="671" t="e">
        <f t="shared" si="6"/>
        <v>#DIV/0!</v>
      </c>
      <c r="F68" s="578"/>
      <c r="G68" s="578"/>
      <c r="H68" s="577"/>
      <c r="I68" s="562"/>
      <c r="J68" s="498"/>
      <c r="K68" s="173"/>
      <c r="L68" s="281"/>
      <c r="M68" s="8"/>
      <c r="N68" s="281">
        <f t="shared" si="7"/>
        <v>14</v>
      </c>
      <c r="O68" s="9"/>
    </row>
    <row r="69" spans="1:15" ht="15.6">
      <c r="A69" s="3">
        <v>43</v>
      </c>
      <c r="B69" s="577"/>
      <c r="C69" s="578"/>
      <c r="D69" s="578"/>
      <c r="E69" s="671" t="e">
        <f t="shared" si="6"/>
        <v>#DIV/0!</v>
      </c>
      <c r="F69" s="578"/>
      <c r="G69" s="578"/>
      <c r="H69" s="577"/>
      <c r="I69" s="562"/>
      <c r="J69" s="498"/>
      <c r="K69" s="173"/>
      <c r="L69" s="281"/>
      <c r="M69" s="8"/>
      <c r="N69" s="281">
        <f t="shared" si="7"/>
        <v>14</v>
      </c>
      <c r="O69" s="331"/>
    </row>
    <row r="70" spans="1:15" ht="15.6">
      <c r="A70" s="3">
        <v>44</v>
      </c>
      <c r="B70" s="577"/>
      <c r="C70" s="578"/>
      <c r="D70" s="578"/>
      <c r="E70" s="671" t="e">
        <f t="shared" si="6"/>
        <v>#DIV/0!</v>
      </c>
      <c r="F70" s="578"/>
      <c r="G70" s="578"/>
      <c r="H70" s="577"/>
      <c r="I70" s="562"/>
      <c r="J70" s="498"/>
      <c r="K70" s="173"/>
      <c r="L70" s="281"/>
      <c r="M70" s="8"/>
      <c r="N70" s="281">
        <f t="shared" si="7"/>
        <v>14</v>
      </c>
      <c r="O70" s="331"/>
    </row>
    <row r="71" spans="1:15" ht="15">
      <c r="A71" s="3">
        <v>45</v>
      </c>
      <c r="B71" s="577"/>
      <c r="C71" s="578"/>
      <c r="D71" s="578"/>
      <c r="E71" s="671" t="e">
        <f t="shared" si="6"/>
        <v>#DIV/0!</v>
      </c>
      <c r="F71" s="578"/>
      <c r="G71" s="578"/>
      <c r="H71" s="577"/>
      <c r="I71" s="562"/>
      <c r="J71" s="498"/>
      <c r="K71" s="173"/>
      <c r="L71" s="281"/>
      <c r="M71" s="8"/>
      <c r="N71" s="281">
        <f t="shared" si="7"/>
        <v>14</v>
      </c>
      <c r="O71" s="9"/>
    </row>
    <row r="72" spans="1:15" ht="15">
      <c r="A72" s="3">
        <v>46</v>
      </c>
      <c r="B72" s="577"/>
      <c r="C72" s="578"/>
      <c r="D72" s="578"/>
      <c r="E72" s="671" t="e">
        <f t="shared" si="6"/>
        <v>#DIV/0!</v>
      </c>
      <c r="F72" s="578"/>
      <c r="G72" s="578"/>
      <c r="H72" s="577"/>
      <c r="I72" s="562"/>
      <c r="J72" s="498"/>
      <c r="K72" s="173"/>
      <c r="L72" s="281"/>
      <c r="M72" s="8"/>
      <c r="N72" s="281">
        <f t="shared" si="7"/>
        <v>14</v>
      </c>
      <c r="O72" s="9"/>
    </row>
    <row r="73" spans="1:15" ht="15">
      <c r="A73" s="3">
        <v>47</v>
      </c>
      <c r="B73" s="577"/>
      <c r="C73" s="578"/>
      <c r="D73" s="578"/>
      <c r="E73" s="671" t="e">
        <f t="shared" si="6"/>
        <v>#DIV/0!</v>
      </c>
      <c r="F73" s="578"/>
      <c r="G73" s="578"/>
      <c r="H73" s="577"/>
      <c r="I73" s="562"/>
      <c r="J73" s="498"/>
      <c r="K73" s="173"/>
      <c r="L73" s="281"/>
      <c r="M73" s="8"/>
      <c r="N73" s="281">
        <f t="shared" si="7"/>
        <v>14</v>
      </c>
      <c r="O73" s="9"/>
    </row>
    <row r="74" spans="1:15" ht="15">
      <c r="A74" s="3">
        <v>48</v>
      </c>
      <c r="B74" s="577"/>
      <c r="C74" s="578"/>
      <c r="D74" s="578"/>
      <c r="E74" s="671" t="e">
        <f t="shared" si="6"/>
        <v>#DIV/0!</v>
      </c>
      <c r="F74" s="578"/>
      <c r="G74" s="578"/>
      <c r="H74" s="577"/>
      <c r="I74" s="562"/>
      <c r="J74" s="498"/>
      <c r="K74" s="173"/>
      <c r="L74" s="281"/>
      <c r="M74" s="8"/>
      <c r="N74" s="281">
        <f t="shared" si="7"/>
        <v>14</v>
      </c>
      <c r="O74" s="9"/>
    </row>
    <row r="75" spans="1:15" ht="15">
      <c r="A75" s="3">
        <v>49</v>
      </c>
      <c r="B75" s="577"/>
      <c r="C75" s="578"/>
      <c r="D75" s="578"/>
      <c r="E75" s="671" t="e">
        <f t="shared" si="6"/>
        <v>#DIV/0!</v>
      </c>
      <c r="F75" s="578"/>
      <c r="G75" s="578"/>
      <c r="H75" s="577"/>
      <c r="I75" s="562"/>
      <c r="J75" s="498"/>
      <c r="K75" s="173"/>
      <c r="L75" s="281"/>
      <c r="M75" s="8"/>
      <c r="N75" s="281">
        <f t="shared" si="7"/>
        <v>14</v>
      </c>
      <c r="O75" s="9"/>
    </row>
    <row r="76" spans="1:15" ht="15">
      <c r="A76" s="3">
        <v>50</v>
      </c>
      <c r="B76" s="577"/>
      <c r="C76" s="578"/>
      <c r="D76" s="578"/>
      <c r="E76" s="671" t="e">
        <f t="shared" si="6"/>
        <v>#DIV/0!</v>
      </c>
      <c r="F76" s="578"/>
      <c r="G76" s="578"/>
      <c r="H76" s="577"/>
      <c r="I76" s="562"/>
      <c r="J76" s="498"/>
      <c r="K76" s="173"/>
      <c r="L76" s="281"/>
      <c r="M76" s="8"/>
      <c r="N76" s="281">
        <f t="shared" si="7"/>
        <v>14</v>
      </c>
      <c r="O76" s="9"/>
    </row>
    <row r="77" spans="1:15" ht="15">
      <c r="A77" s="3">
        <v>51</v>
      </c>
      <c r="B77" s="577"/>
      <c r="C77" s="578"/>
      <c r="D77" s="578"/>
      <c r="E77" s="671" t="e">
        <f t="shared" si="6"/>
        <v>#DIV/0!</v>
      </c>
      <c r="F77" s="578"/>
      <c r="G77" s="578"/>
      <c r="H77" s="577"/>
      <c r="I77" s="562"/>
      <c r="J77" s="498"/>
      <c r="K77" s="173"/>
      <c r="L77" s="281"/>
      <c r="M77" s="8"/>
      <c r="N77" s="281">
        <f t="shared" si="7"/>
        <v>14</v>
      </c>
      <c r="O77" s="9"/>
    </row>
    <row r="78" spans="1:15" ht="15">
      <c r="A78" s="3">
        <v>52</v>
      </c>
      <c r="B78" s="577"/>
      <c r="C78" s="578"/>
      <c r="D78" s="578"/>
      <c r="E78" s="671" t="e">
        <f t="shared" si="6"/>
        <v>#DIV/0!</v>
      </c>
      <c r="F78" s="578"/>
      <c r="G78" s="578"/>
      <c r="H78" s="577"/>
      <c r="I78" s="562"/>
      <c r="J78" s="498"/>
      <c r="K78" s="173"/>
      <c r="L78" s="281"/>
      <c r="M78" s="8"/>
      <c r="N78" s="281">
        <f t="shared" si="7"/>
        <v>14</v>
      </c>
      <c r="O78" s="9"/>
    </row>
    <row r="79" spans="1:15" ht="15">
      <c r="A79" s="3">
        <v>53</v>
      </c>
      <c r="B79" s="577"/>
      <c r="C79" s="578"/>
      <c r="D79" s="578"/>
      <c r="E79" s="671" t="e">
        <f t="shared" si="6"/>
        <v>#DIV/0!</v>
      </c>
      <c r="F79" s="578"/>
      <c r="G79" s="578"/>
      <c r="H79" s="577"/>
      <c r="I79" s="562"/>
      <c r="J79" s="498"/>
      <c r="K79" s="173"/>
      <c r="L79" s="281"/>
      <c r="M79" s="8"/>
      <c r="N79" s="281">
        <f t="shared" si="7"/>
        <v>14</v>
      </c>
      <c r="O79" s="9"/>
    </row>
    <row r="80" spans="1:15" ht="15.6">
      <c r="A80" s="3">
        <v>54</v>
      </c>
      <c r="B80" s="577"/>
      <c r="C80" s="578"/>
      <c r="D80" s="578"/>
      <c r="E80" s="671" t="e">
        <f t="shared" si="6"/>
        <v>#DIV/0!</v>
      </c>
      <c r="F80" s="578"/>
      <c r="G80" s="578"/>
      <c r="H80" s="577"/>
      <c r="I80" s="562"/>
      <c r="J80" s="498"/>
      <c r="K80" s="173"/>
      <c r="L80" s="281"/>
      <c r="M80" s="8"/>
      <c r="N80" s="281">
        <f t="shared" si="7"/>
        <v>14</v>
      </c>
      <c r="O80" s="331"/>
    </row>
    <row r="81" spans="1:15" ht="15">
      <c r="A81" s="3">
        <v>55</v>
      </c>
      <c r="B81" s="577"/>
      <c r="C81" s="578"/>
      <c r="D81" s="578"/>
      <c r="E81" s="671" t="e">
        <f t="shared" si="6"/>
        <v>#DIV/0!</v>
      </c>
      <c r="F81" s="578"/>
      <c r="G81" s="578"/>
      <c r="H81" s="577"/>
      <c r="I81" s="562"/>
      <c r="J81" s="498"/>
      <c r="K81" s="173"/>
      <c r="L81" s="281"/>
      <c r="M81" s="8"/>
      <c r="N81" s="281">
        <f t="shared" si="7"/>
        <v>14</v>
      </c>
      <c r="O81" s="477"/>
    </row>
    <row r="82" spans="1:15" ht="15">
      <c r="A82" s="3">
        <v>56</v>
      </c>
      <c r="B82" s="577"/>
      <c r="C82" s="578"/>
      <c r="D82" s="578"/>
      <c r="E82" s="671" t="e">
        <f t="shared" si="6"/>
        <v>#DIV/0!</v>
      </c>
      <c r="F82" s="578"/>
      <c r="G82" s="578"/>
      <c r="H82" s="577"/>
      <c r="I82" s="562"/>
      <c r="J82" s="498"/>
      <c r="K82" s="173"/>
      <c r="L82" s="281"/>
      <c r="M82" s="8"/>
      <c r="N82" s="281">
        <f t="shared" si="7"/>
        <v>14</v>
      </c>
      <c r="O82" s="477"/>
    </row>
    <row r="83" spans="1:15" ht="15">
      <c r="A83" s="3">
        <v>57</v>
      </c>
      <c r="B83" s="577"/>
      <c r="C83" s="578"/>
      <c r="D83" s="578"/>
      <c r="E83" s="671" t="e">
        <f t="shared" si="6"/>
        <v>#DIV/0!</v>
      </c>
      <c r="F83" s="578"/>
      <c r="G83" s="578"/>
      <c r="H83" s="577"/>
      <c r="I83" s="562"/>
      <c r="J83" s="498"/>
      <c r="K83" s="173"/>
      <c r="L83" s="281"/>
      <c r="M83" s="8"/>
      <c r="N83" s="281">
        <f t="shared" si="7"/>
        <v>14</v>
      </c>
      <c r="O83" s="9"/>
    </row>
    <row r="84" spans="1:15" ht="15">
      <c r="A84" s="3">
        <v>58</v>
      </c>
      <c r="B84" s="577"/>
      <c r="C84" s="578"/>
      <c r="D84" s="578"/>
      <c r="E84" s="671" t="e">
        <f t="shared" si="6"/>
        <v>#DIV/0!</v>
      </c>
      <c r="F84" s="578"/>
      <c r="G84" s="578"/>
      <c r="H84" s="577"/>
      <c r="I84" s="562"/>
      <c r="J84" s="498"/>
      <c r="K84" s="173"/>
      <c r="L84" s="281"/>
      <c r="M84" s="8"/>
      <c r="N84" s="281">
        <f t="shared" si="7"/>
        <v>14</v>
      </c>
      <c r="O84" s="477"/>
    </row>
    <row r="85" spans="1:15" ht="15">
      <c r="A85" s="3">
        <v>59</v>
      </c>
      <c r="B85" s="577"/>
      <c r="C85" s="578"/>
      <c r="D85" s="578"/>
      <c r="E85" s="671" t="e">
        <f t="shared" si="6"/>
        <v>#DIV/0!</v>
      </c>
      <c r="F85" s="578"/>
      <c r="G85" s="578"/>
      <c r="H85" s="577"/>
      <c r="I85" s="562"/>
      <c r="J85" s="498"/>
      <c r="K85" s="173"/>
      <c r="L85" s="281"/>
      <c r="M85" s="8"/>
      <c r="N85" s="281">
        <f t="shared" si="7"/>
        <v>14</v>
      </c>
      <c r="O85" s="477"/>
    </row>
    <row r="86" spans="1:15" ht="15">
      <c r="A86" s="3">
        <v>60</v>
      </c>
      <c r="B86" s="577"/>
      <c r="C86" s="578"/>
      <c r="D86" s="578"/>
      <c r="E86" s="671" t="e">
        <f t="shared" si="6"/>
        <v>#DIV/0!</v>
      </c>
      <c r="F86" s="578"/>
      <c r="G86" s="578"/>
      <c r="H86" s="577"/>
      <c r="I86" s="562"/>
      <c r="J86" s="498"/>
      <c r="K86" s="173"/>
      <c r="L86" s="281"/>
      <c r="M86" s="8"/>
      <c r="N86" s="281">
        <f t="shared" si="7"/>
        <v>14</v>
      </c>
      <c r="O86" s="9"/>
    </row>
    <row r="87" spans="1:15" ht="15">
      <c r="A87" s="3">
        <v>61</v>
      </c>
      <c r="B87" s="577"/>
      <c r="C87" s="578"/>
      <c r="D87" s="578"/>
      <c r="E87" s="671" t="e">
        <f t="shared" si="6"/>
        <v>#DIV/0!</v>
      </c>
      <c r="F87" s="578"/>
      <c r="G87" s="578"/>
      <c r="H87" s="577"/>
      <c r="I87" s="562"/>
      <c r="J87" s="498"/>
      <c r="K87" s="173"/>
      <c r="L87" s="281"/>
      <c r="M87" s="8"/>
      <c r="N87" s="281">
        <f t="shared" si="7"/>
        <v>14</v>
      </c>
      <c r="O87" s="9"/>
    </row>
    <row r="88" spans="1:15" ht="15">
      <c r="A88" s="3">
        <v>62</v>
      </c>
      <c r="B88" s="577"/>
      <c r="C88" s="578"/>
      <c r="D88" s="578"/>
      <c r="E88" s="671" t="e">
        <f t="shared" si="6"/>
        <v>#DIV/0!</v>
      </c>
      <c r="F88" s="578"/>
      <c r="G88" s="578"/>
      <c r="H88" s="577"/>
      <c r="I88" s="562"/>
      <c r="J88" s="498"/>
      <c r="K88" s="173"/>
      <c r="L88" s="281"/>
      <c r="M88" s="8"/>
      <c r="N88" s="281">
        <f t="shared" si="7"/>
        <v>14</v>
      </c>
      <c r="O88" s="561"/>
    </row>
    <row r="89" spans="1:15" ht="15">
      <c r="A89" s="3">
        <v>63</v>
      </c>
      <c r="B89" s="577"/>
      <c r="C89" s="578"/>
      <c r="D89" s="578"/>
      <c r="E89" s="671" t="e">
        <f t="shared" si="6"/>
        <v>#DIV/0!</v>
      </c>
      <c r="F89" s="578"/>
      <c r="G89" s="578"/>
      <c r="H89" s="577"/>
      <c r="I89" s="562"/>
      <c r="J89" s="498"/>
      <c r="K89" s="173"/>
      <c r="L89" s="281"/>
      <c r="M89" s="8"/>
      <c r="N89" s="281">
        <f t="shared" si="7"/>
        <v>14</v>
      </c>
      <c r="O89" s="561"/>
    </row>
    <row r="90" spans="1:15" ht="15">
      <c r="A90" s="3">
        <v>64</v>
      </c>
      <c r="B90" s="577"/>
      <c r="C90" s="578"/>
      <c r="D90" s="578"/>
      <c r="E90" s="671" t="e">
        <f t="shared" si="6"/>
        <v>#DIV/0!</v>
      </c>
      <c r="F90" s="578"/>
      <c r="G90" s="578"/>
      <c r="H90" s="577"/>
      <c r="I90" s="562"/>
      <c r="J90" s="498"/>
      <c r="K90" s="173"/>
      <c r="L90" s="281"/>
      <c r="M90" s="8"/>
      <c r="N90" s="281">
        <f t="shared" si="7"/>
        <v>14</v>
      </c>
      <c r="O90" s="561"/>
    </row>
    <row r="91" spans="1:15" ht="15">
      <c r="A91" s="3">
        <v>65</v>
      </c>
      <c r="B91" s="577"/>
      <c r="C91" s="578"/>
      <c r="D91" s="578"/>
      <c r="E91" s="671" t="e">
        <f t="shared" si="6"/>
        <v>#DIV/0!</v>
      </c>
      <c r="F91" s="578"/>
      <c r="G91" s="578"/>
      <c r="H91" s="577"/>
      <c r="I91" s="562"/>
      <c r="J91" s="498"/>
      <c r="K91" s="173"/>
      <c r="L91" s="281"/>
      <c r="M91" s="8"/>
      <c r="N91" s="281">
        <f t="shared" si="7"/>
        <v>14</v>
      </c>
      <c r="O91" s="561"/>
    </row>
    <row r="92" spans="1:15" ht="15">
      <c r="A92" s="3">
        <v>66</v>
      </c>
      <c r="B92" s="577"/>
      <c r="C92" s="578"/>
      <c r="D92" s="578"/>
      <c r="E92" s="671" t="e">
        <f t="shared" si="6"/>
        <v>#DIV/0!</v>
      </c>
      <c r="F92" s="578"/>
      <c r="G92" s="578"/>
      <c r="H92" s="577"/>
      <c r="I92" s="562"/>
      <c r="J92" s="498"/>
      <c r="K92" s="173"/>
      <c r="L92" s="281"/>
      <c r="M92" s="8"/>
      <c r="N92" s="281">
        <f t="shared" si="7"/>
        <v>14</v>
      </c>
      <c r="O92" s="9"/>
    </row>
    <row r="93" spans="1:15" ht="15">
      <c r="A93" s="3">
        <v>67</v>
      </c>
      <c r="B93" s="577"/>
      <c r="C93" s="578"/>
      <c r="D93" s="578"/>
      <c r="E93" s="671" t="e">
        <f t="shared" si="6"/>
        <v>#DIV/0!</v>
      </c>
      <c r="F93" s="578"/>
      <c r="G93" s="578"/>
      <c r="H93" s="577"/>
      <c r="I93" s="562"/>
      <c r="J93" s="498"/>
      <c r="K93" s="173"/>
      <c r="L93" s="281"/>
      <c r="M93" s="8"/>
      <c r="N93" s="281">
        <f t="shared" si="7"/>
        <v>14</v>
      </c>
      <c r="O93" s="9"/>
    </row>
    <row r="94" spans="1:15" ht="15">
      <c r="A94" s="3">
        <v>68</v>
      </c>
      <c r="B94" s="577"/>
      <c r="C94" s="578"/>
      <c r="D94" s="578"/>
      <c r="E94" s="671" t="e">
        <f t="shared" si="6"/>
        <v>#DIV/0!</v>
      </c>
      <c r="F94" s="578"/>
      <c r="G94" s="578"/>
      <c r="H94" s="577"/>
      <c r="I94" s="562"/>
      <c r="J94" s="498"/>
      <c r="K94" s="173"/>
      <c r="L94" s="281"/>
      <c r="M94" s="8"/>
      <c r="N94" s="281">
        <f t="shared" si="7"/>
        <v>14</v>
      </c>
      <c r="O94" s="9"/>
    </row>
    <row r="95" spans="1:15" ht="15">
      <c r="A95" s="3">
        <v>69</v>
      </c>
      <c r="B95" s="577"/>
      <c r="C95" s="578"/>
      <c r="D95" s="578"/>
      <c r="E95" s="671" t="e">
        <f t="shared" si="6"/>
        <v>#DIV/0!</v>
      </c>
      <c r="F95" s="578"/>
      <c r="G95" s="578"/>
      <c r="H95" s="577"/>
      <c r="I95" s="562"/>
      <c r="J95" s="498"/>
      <c r="K95" s="173"/>
      <c r="L95" s="281"/>
      <c r="M95" s="8"/>
      <c r="N95" s="281">
        <f t="shared" si="7"/>
        <v>14</v>
      </c>
      <c r="O95" s="9"/>
    </row>
    <row r="96" spans="1:15" ht="15">
      <c r="A96" s="3">
        <v>70</v>
      </c>
      <c r="B96" s="577"/>
      <c r="C96" s="578"/>
      <c r="D96" s="578"/>
      <c r="E96" s="671" t="e">
        <f t="shared" si="6"/>
        <v>#DIV/0!</v>
      </c>
      <c r="F96" s="578"/>
      <c r="G96" s="578"/>
      <c r="H96" s="577"/>
      <c r="I96" s="562"/>
      <c r="J96" s="498"/>
      <c r="K96" s="173"/>
      <c r="L96" s="281"/>
      <c r="M96" s="8"/>
      <c r="N96" s="281">
        <f t="shared" si="7"/>
        <v>14</v>
      </c>
      <c r="O96" s="9"/>
    </row>
    <row r="97" spans="1:15" ht="15">
      <c r="A97" s="3">
        <v>71</v>
      </c>
      <c r="B97" s="577"/>
      <c r="C97" s="578"/>
      <c r="D97" s="578"/>
      <c r="E97" s="671" t="e">
        <f t="shared" si="6"/>
        <v>#DIV/0!</v>
      </c>
      <c r="F97" s="578"/>
      <c r="G97" s="578"/>
      <c r="H97" s="577"/>
      <c r="I97" s="562"/>
      <c r="J97" s="498"/>
      <c r="K97" s="173"/>
      <c r="L97" s="281"/>
      <c r="M97" s="8"/>
      <c r="N97" s="281">
        <f t="shared" si="7"/>
        <v>14</v>
      </c>
      <c r="O97" s="9"/>
    </row>
    <row r="98" spans="1:15" ht="15">
      <c r="A98" s="3">
        <v>72</v>
      </c>
      <c r="B98" s="577"/>
      <c r="C98" s="578"/>
      <c r="D98" s="578"/>
      <c r="E98" s="671" t="e">
        <f t="shared" si="6"/>
        <v>#DIV/0!</v>
      </c>
      <c r="F98" s="578"/>
      <c r="G98" s="578"/>
      <c r="H98" s="577"/>
      <c r="I98" s="562"/>
      <c r="J98" s="498"/>
      <c r="K98" s="173"/>
      <c r="L98" s="281"/>
      <c r="M98" s="8"/>
      <c r="N98" s="281">
        <f t="shared" si="7"/>
        <v>14</v>
      </c>
      <c r="O98" s="9"/>
    </row>
    <row r="99" spans="1:15" ht="15">
      <c r="A99" s="3">
        <v>73</v>
      </c>
      <c r="B99" s="577"/>
      <c r="C99" s="578"/>
      <c r="D99" s="578"/>
      <c r="E99" s="671" t="e">
        <f t="shared" si="6"/>
        <v>#DIV/0!</v>
      </c>
      <c r="F99" s="578"/>
      <c r="G99" s="578"/>
      <c r="H99" s="577"/>
      <c r="I99" s="562"/>
      <c r="J99" s="498"/>
      <c r="K99" s="173"/>
      <c r="L99" s="281"/>
      <c r="M99" s="8"/>
      <c r="N99" s="281">
        <f t="shared" si="7"/>
        <v>14</v>
      </c>
      <c r="O99" s="9"/>
    </row>
    <row r="100" spans="1:15" ht="15">
      <c r="A100" s="3">
        <v>74</v>
      </c>
      <c r="B100" s="577"/>
      <c r="C100" s="578"/>
      <c r="D100" s="578"/>
      <c r="E100" s="671" t="e">
        <f t="shared" si="6"/>
        <v>#DIV/0!</v>
      </c>
      <c r="F100" s="578"/>
      <c r="G100" s="578"/>
      <c r="H100" s="577"/>
      <c r="I100" s="562"/>
      <c r="J100" s="498"/>
      <c r="K100" s="173"/>
      <c r="L100" s="281"/>
      <c r="M100" s="8"/>
      <c r="N100" s="281">
        <f t="shared" si="7"/>
        <v>14</v>
      </c>
      <c r="O100" s="9"/>
    </row>
    <row r="101" spans="1:15" ht="15">
      <c r="A101" s="3">
        <v>75</v>
      </c>
      <c r="B101" s="577"/>
      <c r="C101" s="578"/>
      <c r="D101" s="578"/>
      <c r="E101" s="671" t="e">
        <f t="shared" si="6"/>
        <v>#DIV/0!</v>
      </c>
      <c r="F101" s="578"/>
      <c r="G101" s="578"/>
      <c r="H101" s="577"/>
      <c r="I101" s="562"/>
      <c r="J101" s="498"/>
      <c r="K101" s="173"/>
      <c r="L101" s="281"/>
      <c r="M101" s="8"/>
      <c r="N101" s="281">
        <f t="shared" si="7"/>
        <v>14</v>
      </c>
      <c r="O101" s="9"/>
    </row>
    <row r="102" spans="1:15" ht="15">
      <c r="A102" s="3">
        <v>76</v>
      </c>
      <c r="B102" s="577"/>
      <c r="C102" s="578"/>
      <c r="D102" s="578"/>
      <c r="E102" s="671" t="e">
        <f t="shared" si="6"/>
        <v>#DIV/0!</v>
      </c>
      <c r="F102" s="578"/>
      <c r="G102" s="578"/>
      <c r="H102" s="577"/>
      <c r="I102" s="562"/>
      <c r="J102" s="498"/>
      <c r="K102" s="173"/>
      <c r="L102" s="281"/>
      <c r="M102" s="8"/>
      <c r="N102" s="281">
        <f t="shared" si="7"/>
        <v>14</v>
      </c>
      <c r="O102" s="477"/>
    </row>
    <row r="103" spans="1:15" ht="15">
      <c r="A103" s="3">
        <v>77</v>
      </c>
      <c r="B103" s="577"/>
      <c r="C103" s="578"/>
      <c r="D103" s="578"/>
      <c r="E103" s="671" t="e">
        <f t="shared" si="6"/>
        <v>#DIV/0!</v>
      </c>
      <c r="F103" s="578"/>
      <c r="G103" s="578"/>
      <c r="H103" s="577"/>
      <c r="I103" s="562"/>
      <c r="J103" s="498"/>
      <c r="K103" s="173"/>
      <c r="L103" s="281"/>
      <c r="M103" s="8"/>
      <c r="N103" s="281">
        <f t="shared" si="7"/>
        <v>14</v>
      </c>
      <c r="O103" s="9"/>
    </row>
    <row r="104" spans="1:15" ht="15">
      <c r="A104" s="3">
        <v>78</v>
      </c>
      <c r="B104" s="577"/>
      <c r="C104" s="578"/>
      <c r="D104" s="578"/>
      <c r="E104" s="671" t="e">
        <f t="shared" si="6"/>
        <v>#DIV/0!</v>
      </c>
      <c r="F104" s="578"/>
      <c r="G104" s="578"/>
      <c r="H104" s="577"/>
      <c r="I104" s="562"/>
      <c r="J104" s="498"/>
      <c r="K104" s="173"/>
      <c r="L104" s="281"/>
      <c r="M104" s="8"/>
      <c r="N104" s="281">
        <f t="shared" si="7"/>
        <v>14</v>
      </c>
      <c r="O104" s="477"/>
    </row>
    <row r="105" spans="1:15" ht="15">
      <c r="A105" s="3">
        <v>79</v>
      </c>
      <c r="B105" s="577"/>
      <c r="C105" s="578"/>
      <c r="D105" s="578"/>
      <c r="E105" s="671" t="e">
        <f t="shared" si="6"/>
        <v>#DIV/0!</v>
      </c>
      <c r="F105" s="578"/>
      <c r="G105" s="578"/>
      <c r="H105" s="577"/>
      <c r="I105" s="562"/>
      <c r="J105" s="498"/>
      <c r="K105" s="173"/>
      <c r="L105" s="281"/>
      <c r="M105" s="8"/>
      <c r="N105" s="281">
        <f t="shared" si="7"/>
        <v>14</v>
      </c>
      <c r="O105" s="477"/>
    </row>
    <row r="106" spans="1:15" ht="15">
      <c r="A106" s="3">
        <v>80</v>
      </c>
      <c r="B106" s="577"/>
      <c r="C106" s="578"/>
      <c r="D106" s="578"/>
      <c r="E106" s="671" t="e">
        <f t="shared" si="6"/>
        <v>#DIV/0!</v>
      </c>
      <c r="F106" s="578"/>
      <c r="G106" s="578"/>
      <c r="H106" s="577"/>
      <c r="I106" s="562"/>
      <c r="J106" s="498"/>
      <c r="K106" s="173"/>
      <c r="L106" s="281"/>
      <c r="M106" s="8"/>
      <c r="N106" s="281">
        <f t="shared" si="7"/>
        <v>14</v>
      </c>
      <c r="O106" s="9"/>
    </row>
    <row r="107" spans="1:15" ht="15">
      <c r="A107" s="3">
        <v>81</v>
      </c>
      <c r="B107" s="577"/>
      <c r="C107" s="578"/>
      <c r="D107" s="578"/>
      <c r="E107" s="671" t="e">
        <f t="shared" si="6"/>
        <v>#DIV/0!</v>
      </c>
      <c r="F107" s="578"/>
      <c r="G107" s="578"/>
      <c r="H107" s="577"/>
      <c r="I107" s="562"/>
      <c r="J107" s="498"/>
      <c r="K107" s="173"/>
      <c r="L107" s="281"/>
      <c r="M107" s="8"/>
      <c r="N107" s="281">
        <f t="shared" si="7"/>
        <v>14</v>
      </c>
      <c r="O107" s="9"/>
    </row>
    <row r="108" spans="1:15" ht="15">
      <c r="A108" s="3">
        <v>82</v>
      </c>
      <c r="B108" s="577"/>
      <c r="C108" s="578"/>
      <c r="D108" s="578"/>
      <c r="E108" s="671" t="e">
        <f t="shared" si="6"/>
        <v>#DIV/0!</v>
      </c>
      <c r="F108" s="578"/>
      <c r="G108" s="578"/>
      <c r="H108" s="577"/>
      <c r="I108" s="562"/>
      <c r="J108" s="498"/>
      <c r="K108" s="173"/>
      <c r="L108" s="281"/>
      <c r="M108" s="8"/>
      <c r="N108" s="281">
        <f t="shared" si="7"/>
        <v>14</v>
      </c>
      <c r="O108" s="9"/>
    </row>
    <row r="109" spans="1:15" ht="15">
      <c r="A109" s="3">
        <v>83</v>
      </c>
      <c r="B109" s="577"/>
      <c r="C109" s="578"/>
      <c r="D109" s="578"/>
      <c r="E109" s="671" t="e">
        <f t="shared" ref="E109:E121" si="8">(C109/D109)*100</f>
        <v>#DIV/0!</v>
      </c>
      <c r="F109" s="578"/>
      <c r="G109" s="578"/>
      <c r="H109" s="577"/>
      <c r="I109" s="562"/>
      <c r="J109" s="498"/>
      <c r="K109" s="173"/>
      <c r="L109" s="281"/>
      <c r="M109" s="8"/>
      <c r="N109" s="281">
        <f t="shared" ref="N109:N121" si="9">IF(M109="O",L109+21,L109+14)</f>
        <v>14</v>
      </c>
      <c r="O109" s="9"/>
    </row>
    <row r="110" spans="1:15" ht="15">
      <c r="A110" s="3">
        <v>84</v>
      </c>
      <c r="B110" s="577"/>
      <c r="C110" s="578"/>
      <c r="D110" s="578"/>
      <c r="E110" s="671" t="e">
        <f t="shared" si="8"/>
        <v>#DIV/0!</v>
      </c>
      <c r="F110" s="578"/>
      <c r="G110" s="578"/>
      <c r="H110" s="577"/>
      <c r="I110" s="562"/>
      <c r="J110" s="498"/>
      <c r="K110" s="173"/>
      <c r="L110" s="281"/>
      <c r="M110" s="8"/>
      <c r="N110" s="281">
        <f t="shared" si="9"/>
        <v>14</v>
      </c>
      <c r="O110" s="9"/>
    </row>
    <row r="111" spans="1:15" ht="15">
      <c r="A111" s="3">
        <v>85</v>
      </c>
      <c r="B111" s="577"/>
      <c r="C111" s="578"/>
      <c r="D111" s="578"/>
      <c r="E111" s="671" t="e">
        <f t="shared" si="8"/>
        <v>#DIV/0!</v>
      </c>
      <c r="F111" s="578"/>
      <c r="G111" s="578"/>
      <c r="H111" s="577"/>
      <c r="I111" s="562"/>
      <c r="J111" s="498"/>
      <c r="K111" s="173"/>
      <c r="L111" s="281"/>
      <c r="M111" s="8"/>
      <c r="N111" s="281">
        <f t="shared" si="9"/>
        <v>14</v>
      </c>
      <c r="O111" s="9"/>
    </row>
    <row r="112" spans="1:15" ht="15">
      <c r="A112" s="3">
        <v>86</v>
      </c>
      <c r="B112" s="577"/>
      <c r="C112" s="578"/>
      <c r="D112" s="578"/>
      <c r="E112" s="671" t="e">
        <f t="shared" si="8"/>
        <v>#DIV/0!</v>
      </c>
      <c r="F112" s="578"/>
      <c r="G112" s="578"/>
      <c r="H112" s="577"/>
      <c r="I112" s="562"/>
      <c r="J112" s="498"/>
      <c r="K112" s="173"/>
      <c r="L112" s="281"/>
      <c r="M112" s="8"/>
      <c r="N112" s="281">
        <f t="shared" si="9"/>
        <v>14</v>
      </c>
      <c r="O112" s="9"/>
    </row>
    <row r="113" spans="1:15" ht="15">
      <c r="A113" s="3">
        <v>87</v>
      </c>
      <c r="B113" s="577"/>
      <c r="C113" s="578"/>
      <c r="D113" s="578"/>
      <c r="E113" s="671" t="e">
        <f t="shared" si="8"/>
        <v>#DIV/0!</v>
      </c>
      <c r="F113" s="578"/>
      <c r="G113" s="578"/>
      <c r="H113" s="577"/>
      <c r="I113" s="562"/>
      <c r="J113" s="498"/>
      <c r="K113" s="173"/>
      <c r="L113" s="281"/>
      <c r="M113" s="8"/>
      <c r="N113" s="281">
        <f t="shared" si="9"/>
        <v>14</v>
      </c>
      <c r="O113" s="9"/>
    </row>
    <row r="114" spans="1:15" ht="15">
      <c r="A114" s="3">
        <v>88</v>
      </c>
      <c r="B114" s="577"/>
      <c r="C114" s="578"/>
      <c r="D114" s="578"/>
      <c r="E114" s="671" t="e">
        <f t="shared" si="8"/>
        <v>#DIV/0!</v>
      </c>
      <c r="F114" s="578"/>
      <c r="G114" s="578"/>
      <c r="H114" s="577"/>
      <c r="I114" s="562"/>
      <c r="J114" s="498"/>
      <c r="K114" s="173"/>
      <c r="L114" s="281"/>
      <c r="M114" s="8"/>
      <c r="N114" s="281">
        <f t="shared" si="9"/>
        <v>14</v>
      </c>
      <c r="O114" s="589"/>
    </row>
    <row r="115" spans="1:15" ht="15">
      <c r="A115" s="3">
        <v>89</v>
      </c>
      <c r="B115" s="577"/>
      <c r="C115" s="578"/>
      <c r="D115" s="578"/>
      <c r="E115" s="671" t="e">
        <f t="shared" si="8"/>
        <v>#DIV/0!</v>
      </c>
      <c r="F115" s="578"/>
      <c r="G115" s="578"/>
      <c r="H115" s="577"/>
      <c r="I115" s="562"/>
      <c r="J115" s="498"/>
      <c r="K115" s="173"/>
      <c r="L115" s="281"/>
      <c r="M115" s="8"/>
      <c r="N115" s="281">
        <f t="shared" si="9"/>
        <v>14</v>
      </c>
      <c r="O115" s="561"/>
    </row>
    <row r="116" spans="1:15" ht="15">
      <c r="A116" s="3">
        <v>90</v>
      </c>
      <c r="B116" s="577"/>
      <c r="C116" s="578"/>
      <c r="D116" s="578"/>
      <c r="E116" s="671" t="e">
        <f t="shared" si="8"/>
        <v>#DIV/0!</v>
      </c>
      <c r="F116" s="578"/>
      <c r="G116" s="578"/>
      <c r="H116" s="577"/>
      <c r="I116" s="562"/>
      <c r="J116" s="498"/>
      <c r="K116" s="173"/>
      <c r="L116" s="281"/>
      <c r="M116" s="8"/>
      <c r="N116" s="281">
        <f t="shared" si="9"/>
        <v>14</v>
      </c>
      <c r="O116" s="561"/>
    </row>
    <row r="117" spans="1:15" ht="15">
      <c r="A117" s="3">
        <v>91</v>
      </c>
      <c r="B117" s="577"/>
      <c r="C117" s="578"/>
      <c r="D117" s="578"/>
      <c r="E117" s="671" t="e">
        <f t="shared" si="8"/>
        <v>#DIV/0!</v>
      </c>
      <c r="F117" s="578"/>
      <c r="G117" s="578"/>
      <c r="H117" s="577"/>
      <c r="I117" s="562"/>
      <c r="J117" s="498"/>
      <c r="K117" s="173"/>
      <c r="L117" s="281"/>
      <c r="M117" s="8"/>
      <c r="N117" s="281">
        <f t="shared" si="9"/>
        <v>14</v>
      </c>
      <c r="O117" s="561"/>
    </row>
    <row r="118" spans="1:15" ht="15">
      <c r="A118" s="3">
        <v>92</v>
      </c>
      <c r="B118" s="577"/>
      <c r="C118" s="578"/>
      <c r="D118" s="578"/>
      <c r="E118" s="671" t="e">
        <f t="shared" si="8"/>
        <v>#DIV/0!</v>
      </c>
      <c r="F118" s="578"/>
      <c r="G118" s="578"/>
      <c r="H118" s="577"/>
      <c r="I118" s="562"/>
      <c r="J118" s="498"/>
      <c r="K118" s="173"/>
      <c r="L118" s="281"/>
      <c r="M118" s="8"/>
      <c r="N118" s="281">
        <f t="shared" si="9"/>
        <v>14</v>
      </c>
      <c r="O118" s="9"/>
    </row>
    <row r="119" spans="1:15" ht="15">
      <c r="A119" s="3">
        <v>93</v>
      </c>
      <c r="B119" s="577"/>
      <c r="C119" s="578"/>
      <c r="D119" s="578"/>
      <c r="E119" s="671" t="e">
        <f t="shared" si="8"/>
        <v>#DIV/0!</v>
      </c>
      <c r="F119" s="578"/>
      <c r="G119" s="578"/>
      <c r="H119" s="577"/>
      <c r="I119" s="562"/>
      <c r="J119" s="498"/>
      <c r="K119" s="173"/>
      <c r="L119" s="281"/>
      <c r="M119" s="8"/>
      <c r="N119" s="281">
        <f t="shared" si="9"/>
        <v>14</v>
      </c>
      <c r="O119" s="9"/>
    </row>
    <row r="120" spans="1:15" ht="15">
      <c r="A120" s="3">
        <v>94</v>
      </c>
      <c r="B120" s="577"/>
      <c r="C120" s="578"/>
      <c r="D120" s="578"/>
      <c r="E120" s="671" t="e">
        <f t="shared" si="8"/>
        <v>#DIV/0!</v>
      </c>
      <c r="F120" s="578"/>
      <c r="G120" s="578"/>
      <c r="H120" s="577"/>
      <c r="I120" s="562"/>
      <c r="J120" s="498"/>
      <c r="K120" s="173"/>
      <c r="L120" s="281"/>
      <c r="M120" s="8"/>
      <c r="N120" s="281">
        <f t="shared" si="9"/>
        <v>14</v>
      </c>
      <c r="O120" s="9"/>
    </row>
    <row r="121" spans="1:15" ht="15">
      <c r="A121" s="3">
        <v>95</v>
      </c>
      <c r="B121" s="577"/>
      <c r="C121" s="578"/>
      <c r="D121" s="578"/>
      <c r="E121" s="671" t="e">
        <f t="shared" si="8"/>
        <v>#DIV/0!</v>
      </c>
      <c r="F121" s="578"/>
      <c r="G121" s="578"/>
      <c r="H121" s="577"/>
      <c r="I121" s="562"/>
      <c r="J121" s="498"/>
      <c r="K121" s="173"/>
      <c r="L121" s="281"/>
      <c r="M121" s="8"/>
      <c r="N121" s="281">
        <f t="shared" si="9"/>
        <v>14</v>
      </c>
      <c r="O121" s="9"/>
    </row>
    <row r="122" spans="1:15" ht="15">
      <c r="A122" s="3">
        <v>96</v>
      </c>
      <c r="B122" s="577"/>
      <c r="C122" s="578"/>
      <c r="D122" s="578"/>
      <c r="E122" s="671" t="e">
        <f t="shared" ref="E122:E125" si="10">(C122/D122)*100</f>
        <v>#DIV/0!</v>
      </c>
      <c r="F122" s="578"/>
      <c r="G122" s="578"/>
      <c r="H122" s="577"/>
      <c r="I122" s="562"/>
      <c r="J122" s="498"/>
      <c r="K122" s="173"/>
      <c r="L122" s="281"/>
      <c r="M122" s="8"/>
      <c r="N122" s="281">
        <f t="shared" ref="N122:N125" si="11">IF(M122="O",L122+21,L122+14)</f>
        <v>14</v>
      </c>
      <c r="O122" s="9"/>
    </row>
    <row r="123" spans="1:15" ht="15">
      <c r="A123" s="3">
        <v>97</v>
      </c>
      <c r="B123" s="577"/>
      <c r="C123" s="578"/>
      <c r="D123" s="578"/>
      <c r="E123" s="671" t="e">
        <f t="shared" si="10"/>
        <v>#DIV/0!</v>
      </c>
      <c r="F123" s="578"/>
      <c r="G123" s="578"/>
      <c r="H123" s="577"/>
      <c r="I123" s="562"/>
      <c r="J123" s="498"/>
      <c r="K123" s="173"/>
      <c r="L123" s="281"/>
      <c r="M123" s="8"/>
      <c r="N123" s="281">
        <f t="shared" si="11"/>
        <v>14</v>
      </c>
      <c r="O123" s="9"/>
    </row>
    <row r="124" spans="1:15" ht="15">
      <c r="A124" s="3">
        <v>98</v>
      </c>
      <c r="B124" s="577"/>
      <c r="C124" s="578"/>
      <c r="D124" s="578"/>
      <c r="E124" s="671" t="e">
        <f t="shared" si="10"/>
        <v>#DIV/0!</v>
      </c>
      <c r="F124" s="578"/>
      <c r="G124" s="578"/>
      <c r="H124" s="577"/>
      <c r="I124" s="562"/>
      <c r="J124" s="498"/>
      <c r="K124" s="173"/>
      <c r="L124" s="281"/>
      <c r="M124" s="8"/>
      <c r="N124" s="281">
        <f t="shared" si="11"/>
        <v>14</v>
      </c>
      <c r="O124" s="9"/>
    </row>
    <row r="125" spans="1:15" ht="15">
      <c r="A125" s="3">
        <v>99</v>
      </c>
      <c r="B125" s="577"/>
      <c r="C125" s="578"/>
      <c r="D125" s="578"/>
      <c r="E125" s="671" t="e">
        <f t="shared" si="10"/>
        <v>#DIV/0!</v>
      </c>
      <c r="F125" s="578"/>
      <c r="G125" s="578"/>
      <c r="H125" s="577"/>
      <c r="I125" s="562"/>
      <c r="J125" s="498"/>
      <c r="K125" s="173"/>
      <c r="L125" s="281"/>
      <c r="M125" s="8"/>
      <c r="N125" s="281">
        <f t="shared" si="11"/>
        <v>14</v>
      </c>
      <c r="O125" s="9"/>
    </row>
    <row r="126" spans="1:15" ht="15">
      <c r="A126" s="3">
        <v>100</v>
      </c>
      <c r="B126" s="683"/>
      <c r="C126" s="578"/>
      <c r="D126" s="578"/>
      <c r="E126" s="671" t="e">
        <f t="shared" ref="E126" si="12">(C126/D126)*100</f>
        <v>#DIV/0!</v>
      </c>
      <c r="F126" s="578"/>
      <c r="G126" s="498"/>
      <c r="H126" s="497"/>
      <c r="I126" s="8"/>
      <c r="J126" s="498"/>
      <c r="K126" s="173"/>
      <c r="L126" s="281"/>
      <c r="M126" s="8"/>
      <c r="N126" s="281">
        <f t="shared" ref="N126:N129" si="13">IF(M126="O",L126+21,L126+14)</f>
        <v>14</v>
      </c>
      <c r="O126" s="9"/>
    </row>
    <row r="127" spans="1:15" ht="15">
      <c r="B127" s="639">
        <v>2026</v>
      </c>
      <c r="C127" s="756">
        <v>12</v>
      </c>
      <c r="D127" s="731"/>
      <c r="E127" s="732"/>
      <c r="F127" s="499" t="s">
        <v>3492</v>
      </c>
      <c r="G127" s="498"/>
      <c r="H127" s="497"/>
      <c r="I127" s="8"/>
      <c r="J127" s="498"/>
      <c r="K127" s="9"/>
      <c r="L127" s="281"/>
      <c r="M127" s="8"/>
      <c r="N127" s="281">
        <f t="shared" si="13"/>
        <v>14</v>
      </c>
      <c r="O127" s="9"/>
    </row>
    <row r="128" spans="1:15" ht="15">
      <c r="B128" s="543">
        <v>100</v>
      </c>
      <c r="C128" s="729">
        <v>1</v>
      </c>
      <c r="D128" s="578"/>
      <c r="E128" s="671"/>
      <c r="F128" s="441" t="s">
        <v>3493</v>
      </c>
      <c r="G128" s="498"/>
      <c r="H128" s="497"/>
      <c r="I128" s="8"/>
      <c r="J128" s="498"/>
      <c r="K128" s="9"/>
      <c r="L128" s="281"/>
      <c r="M128" s="8"/>
      <c r="N128" s="281">
        <f t="shared" si="13"/>
        <v>14</v>
      </c>
      <c r="O128" s="9"/>
    </row>
    <row r="129" spans="1:15" ht="15">
      <c r="B129" s="502">
        <f>(C127/B128)*100</f>
        <v>12</v>
      </c>
      <c r="C129" s="441">
        <f>C128*100/C127</f>
        <v>8.3333333333333339</v>
      </c>
      <c r="D129" s="578"/>
      <c r="E129" s="671"/>
      <c r="F129" s="441" t="s">
        <v>1012</v>
      </c>
      <c r="G129" s="498"/>
      <c r="H129" s="497"/>
      <c r="I129" s="8"/>
      <c r="J129" s="498"/>
      <c r="K129" s="9"/>
      <c r="L129" s="281"/>
      <c r="M129" s="8"/>
      <c r="N129" s="281">
        <f t="shared" si="13"/>
        <v>14</v>
      </c>
      <c r="O129" s="9"/>
    </row>
    <row r="135" spans="1:15" s="1" customFormat="1">
      <c r="A135" s="3"/>
      <c r="C135" s="3"/>
      <c r="D135" s="3"/>
      <c r="E135" s="677"/>
      <c r="F135" s="3"/>
      <c r="G135" s="3"/>
      <c r="I135" s="3"/>
      <c r="J135" s="3"/>
      <c r="L135" s="282"/>
      <c r="M135" s="3"/>
      <c r="N135" s="282"/>
    </row>
    <row r="136" spans="1:15" s="1" customFormat="1">
      <c r="A136" s="3"/>
      <c r="C136" s="3"/>
      <c r="D136" s="3"/>
      <c r="E136" s="677"/>
      <c r="F136" s="3"/>
      <c r="G136" s="3"/>
      <c r="I136" s="3"/>
      <c r="J136" s="3"/>
      <c r="L136" s="282"/>
      <c r="M136" s="3"/>
      <c r="N136" s="282"/>
    </row>
    <row r="137" spans="1:15" s="1" customFormat="1">
      <c r="A137" s="3"/>
      <c r="C137" s="3"/>
      <c r="D137" s="3"/>
      <c r="E137" s="677"/>
      <c r="F137" s="3"/>
      <c r="G137" s="3"/>
      <c r="I137" s="3"/>
      <c r="J137" s="3"/>
      <c r="L137" s="282"/>
      <c r="M137" s="3"/>
      <c r="N137" s="282"/>
    </row>
    <row r="138" spans="1:15" s="1" customFormat="1">
      <c r="A138" s="3"/>
      <c r="C138" s="3"/>
      <c r="D138" s="3"/>
      <c r="E138" s="677"/>
      <c r="F138" s="3"/>
      <c r="G138" s="3"/>
      <c r="I138" s="3"/>
      <c r="J138" s="3"/>
      <c r="L138" s="282"/>
      <c r="M138" s="3"/>
      <c r="N138" s="282"/>
    </row>
    <row r="139" spans="1:15" s="1" customFormat="1">
      <c r="A139" s="3"/>
      <c r="C139" s="3"/>
      <c r="D139" s="3"/>
      <c r="E139" s="677"/>
      <c r="F139" s="3"/>
      <c r="G139" s="3"/>
      <c r="I139" s="3"/>
      <c r="J139" s="3"/>
      <c r="L139" s="282"/>
      <c r="M139" s="3"/>
      <c r="N139" s="282"/>
    </row>
    <row r="140" spans="1:15" s="1" customFormat="1">
      <c r="A140" s="3"/>
      <c r="C140" s="3"/>
      <c r="D140" s="3"/>
      <c r="E140" s="677"/>
      <c r="F140" s="3"/>
      <c r="G140" s="3"/>
      <c r="I140" s="3"/>
      <c r="J140" s="3"/>
      <c r="L140" s="282"/>
      <c r="M140" s="3"/>
      <c r="N140" s="282"/>
    </row>
    <row r="141" spans="1:15" s="1" customFormat="1">
      <c r="A141" s="3"/>
      <c r="C141" s="3"/>
      <c r="D141" s="3"/>
      <c r="E141" s="677"/>
      <c r="F141" s="3"/>
      <c r="G141" s="3"/>
      <c r="I141" s="3"/>
      <c r="J141" s="3"/>
      <c r="L141" s="282"/>
      <c r="M141" s="3"/>
      <c r="N141" s="282"/>
    </row>
    <row r="142" spans="1:15" s="1" customFormat="1">
      <c r="A142" s="3"/>
      <c r="C142" s="3"/>
      <c r="D142" s="3"/>
      <c r="E142" s="677"/>
      <c r="F142" s="3"/>
      <c r="G142" s="3"/>
      <c r="I142" s="3"/>
      <c r="J142" s="3"/>
      <c r="L142" s="282"/>
      <c r="M142" s="3"/>
      <c r="N142" s="282"/>
    </row>
    <row r="143" spans="1:15" s="1" customFormat="1">
      <c r="A143" s="3"/>
      <c r="C143" s="3"/>
      <c r="D143" s="3"/>
      <c r="E143" s="677"/>
      <c r="F143" s="3"/>
      <c r="G143" s="3"/>
      <c r="I143" s="3"/>
      <c r="J143" s="3"/>
      <c r="L143" s="282"/>
      <c r="M143" s="3"/>
      <c r="N143" s="282"/>
    </row>
    <row r="144" spans="1:15" s="1" customFormat="1">
      <c r="A144" s="3"/>
      <c r="C144" s="3"/>
      <c r="D144" s="3"/>
      <c r="E144" s="677"/>
      <c r="F144" s="3"/>
      <c r="G144" s="3"/>
      <c r="I144" s="3"/>
      <c r="J144" s="3"/>
      <c r="L144" s="282"/>
      <c r="M144" s="3"/>
      <c r="N144" s="282"/>
    </row>
    <row r="145" spans="1:14" s="1" customFormat="1">
      <c r="A145" s="3"/>
      <c r="C145" s="3"/>
      <c r="D145" s="3"/>
      <c r="E145" s="677"/>
      <c r="F145" s="3"/>
      <c r="G145" s="3"/>
      <c r="I145" s="3"/>
      <c r="J145" s="3"/>
      <c r="L145" s="282"/>
      <c r="M145" s="3"/>
      <c r="N145" s="282"/>
    </row>
    <row r="146" spans="1:14" s="1" customFormat="1">
      <c r="A146" s="3"/>
      <c r="C146" s="3"/>
      <c r="D146" s="3"/>
      <c r="E146" s="677"/>
      <c r="F146" s="3"/>
      <c r="G146" s="3"/>
      <c r="I146" s="3"/>
      <c r="J146" s="3"/>
      <c r="L146" s="282"/>
      <c r="M146" s="3"/>
      <c r="N146" s="282"/>
    </row>
    <row r="147" spans="1:14" s="1" customFormat="1">
      <c r="A147" s="3"/>
      <c r="C147" s="3"/>
      <c r="D147" s="3"/>
      <c r="E147" s="677"/>
      <c r="F147" s="3"/>
      <c r="G147" s="3"/>
      <c r="I147" s="3"/>
      <c r="J147" s="3"/>
      <c r="L147" s="282"/>
      <c r="M147" s="3"/>
      <c r="N147" s="282"/>
    </row>
    <row r="155" spans="1:14" s="1" customFormat="1">
      <c r="A155" s="3"/>
      <c r="C155" s="3"/>
      <c r="D155" s="3"/>
      <c r="E155" s="677"/>
      <c r="F155" s="3"/>
      <c r="G155" s="3"/>
      <c r="I155" s="3"/>
      <c r="J155" s="3"/>
      <c r="L155" s="282"/>
      <c r="M155" s="3"/>
      <c r="N155" s="282"/>
    </row>
    <row r="156" spans="1:14" s="1" customFormat="1">
      <c r="A156" s="3"/>
      <c r="C156" s="3"/>
      <c r="D156" s="3"/>
      <c r="E156" s="677"/>
      <c r="F156" s="3"/>
      <c r="G156" s="3"/>
      <c r="I156" s="3"/>
      <c r="J156" s="3"/>
      <c r="L156" s="282"/>
      <c r="M156" s="3"/>
      <c r="N156" s="282"/>
    </row>
    <row r="157" spans="1:14" s="1" customFormat="1">
      <c r="A157" s="3"/>
      <c r="C157" s="3"/>
      <c r="D157" s="3"/>
      <c r="E157" s="677"/>
      <c r="F157" s="3"/>
      <c r="G157" s="3"/>
      <c r="I157" s="3"/>
      <c r="J157" s="3"/>
      <c r="L157" s="282"/>
      <c r="M157" s="3"/>
      <c r="N157" s="282"/>
    </row>
    <row r="158" spans="1:14" s="1" customFormat="1">
      <c r="A158" s="3"/>
      <c r="C158" s="3"/>
      <c r="D158" s="3"/>
      <c r="E158" s="677"/>
      <c r="F158" s="3"/>
      <c r="G158" s="3"/>
      <c r="I158" s="3"/>
      <c r="J158" s="3"/>
      <c r="L158" s="282"/>
      <c r="M158" s="3"/>
      <c r="N158" s="282"/>
    </row>
    <row r="159" spans="1:14" s="1" customFormat="1">
      <c r="A159" s="3"/>
      <c r="C159" s="3"/>
      <c r="D159" s="3"/>
      <c r="E159" s="677"/>
      <c r="F159" s="3"/>
      <c r="G159" s="3"/>
      <c r="I159" s="3"/>
      <c r="J159" s="3"/>
      <c r="L159" s="282"/>
      <c r="M159" s="3"/>
      <c r="N159" s="282"/>
    </row>
    <row r="160" spans="1:14" s="1" customFormat="1">
      <c r="A160" s="3"/>
      <c r="C160" s="3"/>
      <c r="D160" s="3"/>
      <c r="E160" s="677"/>
      <c r="F160" s="3"/>
      <c r="G160" s="3"/>
      <c r="I160" s="3"/>
      <c r="J160" s="3"/>
      <c r="L160" s="282"/>
      <c r="M160" s="3"/>
      <c r="N160" s="282"/>
    </row>
    <row r="161" spans="1:14" s="1" customFormat="1">
      <c r="A161" s="3"/>
      <c r="C161" s="3"/>
      <c r="D161" s="3"/>
      <c r="E161" s="677"/>
      <c r="F161" s="3"/>
      <c r="G161" s="3"/>
      <c r="I161" s="3"/>
      <c r="J161" s="3"/>
      <c r="L161" s="282"/>
      <c r="M161" s="3"/>
      <c r="N161" s="282"/>
    </row>
    <row r="162" spans="1:14" s="1" customFormat="1">
      <c r="A162" s="3"/>
      <c r="C162" s="3"/>
      <c r="D162" s="3"/>
      <c r="E162" s="677"/>
      <c r="F162" s="3"/>
      <c r="G162" s="3"/>
      <c r="I162" s="3"/>
      <c r="J162" s="3"/>
      <c r="L162" s="282"/>
      <c r="M162" s="3"/>
      <c r="N162" s="282"/>
    </row>
    <row r="163" spans="1:14" s="1" customFormat="1">
      <c r="A163" s="3"/>
      <c r="C163" s="3"/>
      <c r="D163" s="3"/>
      <c r="E163" s="677"/>
      <c r="F163" s="3"/>
      <c r="G163" s="3"/>
      <c r="I163" s="3"/>
      <c r="J163" s="3"/>
      <c r="L163" s="282"/>
      <c r="M163" s="3"/>
      <c r="N163" s="282"/>
    </row>
    <row r="164" spans="1:14" s="1" customFormat="1">
      <c r="A164" s="3"/>
      <c r="C164" s="3"/>
      <c r="D164" s="3"/>
      <c r="E164" s="677"/>
      <c r="F164" s="3"/>
      <c r="G164" s="3"/>
      <c r="I164" s="3"/>
      <c r="J164" s="3"/>
      <c r="L164" s="282"/>
      <c r="M164" s="3"/>
      <c r="N164" s="282"/>
    </row>
    <row r="165" spans="1:14" s="1" customFormat="1">
      <c r="A165" s="3"/>
      <c r="C165" s="3"/>
      <c r="D165" s="3"/>
      <c r="E165" s="677"/>
      <c r="F165" s="3"/>
      <c r="G165" s="3"/>
      <c r="I165" s="3"/>
      <c r="J165" s="3"/>
      <c r="L165" s="282"/>
      <c r="M165" s="3"/>
      <c r="N165" s="282"/>
    </row>
    <row r="166" spans="1:14" s="1" customFormat="1">
      <c r="A166" s="3"/>
      <c r="C166" s="3"/>
      <c r="D166" s="3"/>
      <c r="E166" s="677"/>
      <c r="F166" s="3"/>
      <c r="G166" s="3"/>
      <c r="I166" s="3"/>
      <c r="J166" s="3"/>
      <c r="L166" s="282"/>
      <c r="M166" s="3"/>
      <c r="N166" s="282"/>
    </row>
    <row r="167" spans="1:14" s="1" customFormat="1">
      <c r="A167" s="3"/>
      <c r="C167" s="3"/>
      <c r="D167" s="3"/>
      <c r="E167" s="677"/>
      <c r="F167" s="3"/>
      <c r="G167" s="3"/>
      <c r="I167" s="3"/>
      <c r="J167" s="3"/>
      <c r="L167" s="282"/>
      <c r="M167" s="3"/>
      <c r="N167" s="282"/>
    </row>
    <row r="168" spans="1:14" s="1" customFormat="1">
      <c r="A168" s="3"/>
      <c r="C168" s="3"/>
      <c r="D168" s="3"/>
      <c r="E168" s="677"/>
      <c r="F168" s="3"/>
      <c r="G168" s="3"/>
      <c r="I168" s="3"/>
      <c r="J168" s="3"/>
      <c r="L168" s="282"/>
      <c r="M168" s="3"/>
      <c r="N168" s="282"/>
    </row>
    <row r="169" spans="1:14" s="1" customFormat="1">
      <c r="A169" s="3"/>
      <c r="C169" s="3"/>
      <c r="D169" s="3"/>
      <c r="E169" s="677"/>
      <c r="F169" s="3"/>
      <c r="G169" s="3"/>
      <c r="I169" s="3"/>
      <c r="J169" s="3"/>
      <c r="L169" s="282"/>
      <c r="M169" s="3"/>
      <c r="N169" s="282"/>
    </row>
    <row r="170" spans="1:14" s="1" customFormat="1">
      <c r="A170" s="3"/>
      <c r="C170" s="3"/>
      <c r="D170" s="3"/>
      <c r="E170" s="677"/>
      <c r="F170" s="3"/>
      <c r="G170" s="3"/>
      <c r="I170" s="3"/>
      <c r="J170" s="3"/>
      <c r="L170" s="282"/>
      <c r="M170" s="3"/>
      <c r="N170" s="282"/>
    </row>
    <row r="171" spans="1:14" s="1" customFormat="1">
      <c r="A171" s="3"/>
      <c r="C171" s="3"/>
      <c r="D171" s="3"/>
      <c r="E171" s="677"/>
      <c r="F171" s="3"/>
      <c r="G171" s="3"/>
      <c r="I171" s="3"/>
      <c r="J171" s="3"/>
      <c r="L171" s="282"/>
      <c r="M171" s="3"/>
      <c r="N171" s="282"/>
    </row>
    <row r="172" spans="1:14" s="1" customFormat="1">
      <c r="A172" s="3"/>
      <c r="C172" s="3"/>
      <c r="D172" s="3"/>
      <c r="E172" s="677"/>
      <c r="F172" s="3"/>
      <c r="G172" s="3"/>
      <c r="I172" s="3"/>
      <c r="J172" s="3"/>
      <c r="L172" s="282"/>
      <c r="M172" s="3"/>
      <c r="N172" s="282"/>
    </row>
    <row r="173" spans="1:14" s="1" customFormat="1">
      <c r="A173" s="3"/>
      <c r="C173" s="3"/>
      <c r="D173" s="3"/>
      <c r="E173" s="677"/>
      <c r="F173" s="3"/>
      <c r="G173" s="3"/>
      <c r="I173" s="3"/>
      <c r="J173" s="3"/>
      <c r="L173" s="282"/>
      <c r="M173" s="3"/>
      <c r="N173" s="282"/>
    </row>
    <row r="174" spans="1:14" s="1" customFormat="1">
      <c r="A174" s="3"/>
      <c r="C174" s="3"/>
      <c r="D174" s="3"/>
      <c r="E174" s="677"/>
      <c r="F174" s="3"/>
      <c r="G174" s="3"/>
      <c r="I174" s="3"/>
      <c r="J174" s="3"/>
      <c r="L174" s="282"/>
      <c r="M174" s="3"/>
      <c r="N174" s="282"/>
    </row>
    <row r="175" spans="1:14" s="1" customFormat="1">
      <c r="A175" s="3"/>
      <c r="C175" s="3"/>
      <c r="D175" s="3"/>
      <c r="E175" s="677"/>
      <c r="F175" s="3"/>
      <c r="G175" s="3"/>
      <c r="I175" s="3"/>
      <c r="J175" s="3"/>
      <c r="L175" s="282"/>
      <c r="M175" s="3"/>
      <c r="N175" s="282"/>
    </row>
    <row r="176" spans="1:14" s="1" customFormat="1">
      <c r="A176" s="3"/>
      <c r="C176" s="3"/>
      <c r="D176" s="3"/>
      <c r="E176" s="677"/>
      <c r="F176" s="3"/>
      <c r="G176" s="3"/>
      <c r="I176" s="3"/>
      <c r="J176" s="3"/>
      <c r="L176" s="282"/>
      <c r="M176" s="3"/>
      <c r="N176" s="282"/>
    </row>
    <row r="177" spans="1:14" s="1" customFormat="1">
      <c r="A177" s="3"/>
      <c r="C177" s="3"/>
      <c r="D177" s="3"/>
      <c r="E177" s="677"/>
      <c r="F177" s="3"/>
      <c r="G177" s="3"/>
      <c r="I177" s="3"/>
      <c r="J177" s="3"/>
      <c r="L177" s="282"/>
      <c r="M177" s="3"/>
      <c r="N177" s="282"/>
    </row>
    <row r="178" spans="1:14" s="1" customFormat="1">
      <c r="A178" s="3"/>
      <c r="C178" s="3"/>
      <c r="D178" s="3"/>
      <c r="E178" s="677"/>
      <c r="F178" s="3"/>
      <c r="G178" s="3"/>
      <c r="I178" s="3"/>
      <c r="J178" s="3"/>
      <c r="L178" s="282"/>
      <c r="M178" s="3"/>
      <c r="N178" s="282"/>
    </row>
    <row r="179" spans="1:14" s="1" customFormat="1">
      <c r="A179" s="3"/>
      <c r="C179" s="3"/>
      <c r="D179" s="3"/>
      <c r="E179" s="677"/>
      <c r="F179" s="3"/>
      <c r="G179" s="3"/>
      <c r="I179" s="3"/>
      <c r="J179" s="3"/>
      <c r="L179" s="282"/>
      <c r="M179" s="3"/>
      <c r="N179" s="282"/>
    </row>
    <row r="180" spans="1:14" s="1" customFormat="1">
      <c r="A180" s="3"/>
      <c r="C180" s="3"/>
      <c r="D180" s="3"/>
      <c r="E180" s="677"/>
      <c r="F180" s="3"/>
      <c r="G180" s="3"/>
      <c r="I180" s="3"/>
      <c r="J180" s="3"/>
      <c r="L180" s="282"/>
      <c r="M180" s="3"/>
      <c r="N180" s="282"/>
    </row>
    <row r="181" spans="1:14" s="1" customFormat="1">
      <c r="A181" s="3"/>
      <c r="C181" s="3"/>
      <c r="D181" s="3"/>
      <c r="E181" s="677"/>
      <c r="F181" s="3"/>
      <c r="G181" s="3"/>
      <c r="I181" s="3"/>
      <c r="J181" s="3"/>
      <c r="L181" s="282"/>
      <c r="M181" s="3"/>
      <c r="N181" s="282"/>
    </row>
    <row r="182" spans="1:14" s="1" customFormat="1">
      <c r="A182" s="3"/>
      <c r="C182" s="3"/>
      <c r="D182" s="3"/>
      <c r="E182" s="677"/>
      <c r="F182" s="3"/>
      <c r="G182" s="3"/>
      <c r="I182" s="3"/>
      <c r="J182" s="3"/>
      <c r="L182" s="282"/>
      <c r="M182" s="3"/>
      <c r="N182" s="282"/>
    </row>
    <row r="183" spans="1:14" s="1" customFormat="1">
      <c r="A183" s="3"/>
      <c r="C183" s="3"/>
      <c r="D183" s="3"/>
      <c r="E183" s="677"/>
      <c r="F183" s="3"/>
      <c r="G183" s="3"/>
      <c r="I183" s="3"/>
      <c r="J183" s="3"/>
      <c r="L183" s="282"/>
      <c r="M183" s="3"/>
      <c r="N183" s="282"/>
    </row>
    <row r="184" spans="1:14" s="1" customFormat="1">
      <c r="A184" s="3"/>
      <c r="C184" s="3"/>
      <c r="D184" s="3"/>
      <c r="E184" s="677"/>
      <c r="F184" s="3"/>
      <c r="G184" s="3"/>
      <c r="I184" s="3"/>
      <c r="J184" s="3"/>
      <c r="L184" s="282"/>
      <c r="M184" s="3"/>
      <c r="N184" s="282"/>
    </row>
    <row r="185" spans="1:14" s="1" customFormat="1">
      <c r="A185" s="3"/>
      <c r="C185" s="3"/>
      <c r="D185" s="3"/>
      <c r="E185" s="677"/>
      <c r="F185" s="3"/>
      <c r="G185" s="3"/>
      <c r="I185" s="3"/>
      <c r="J185" s="3"/>
      <c r="L185" s="282"/>
      <c r="M185" s="3"/>
      <c r="N185" s="282"/>
    </row>
    <row r="186" spans="1:14" s="1" customFormat="1">
      <c r="A186" s="3"/>
      <c r="C186" s="3"/>
      <c r="D186" s="3"/>
      <c r="E186" s="677"/>
      <c r="F186" s="3"/>
      <c r="G186" s="3"/>
      <c r="I186" s="3"/>
      <c r="J186" s="3"/>
      <c r="L186" s="282"/>
      <c r="M186" s="3"/>
      <c r="N186" s="282"/>
    </row>
    <row r="187" spans="1:14" s="1" customFormat="1">
      <c r="A187" s="3"/>
      <c r="C187" s="3"/>
      <c r="D187" s="3"/>
      <c r="E187" s="677"/>
      <c r="F187" s="3"/>
      <c r="G187" s="3"/>
      <c r="I187" s="3"/>
      <c r="J187" s="3"/>
      <c r="L187" s="282"/>
      <c r="M187" s="3"/>
      <c r="N187" s="282"/>
    </row>
    <row r="188" spans="1:14" s="1" customFormat="1">
      <c r="A188" s="3"/>
      <c r="C188" s="3"/>
      <c r="D188" s="3"/>
      <c r="E188" s="677"/>
      <c r="F188" s="3"/>
      <c r="G188" s="3"/>
      <c r="I188" s="3"/>
      <c r="J188" s="3"/>
      <c r="L188" s="282"/>
      <c r="M188" s="3"/>
      <c r="N188" s="282"/>
    </row>
    <row r="189" spans="1:14" s="1" customFormat="1">
      <c r="A189" s="3"/>
      <c r="C189" s="3"/>
      <c r="D189" s="3"/>
      <c r="E189" s="677"/>
      <c r="F189" s="3"/>
      <c r="G189" s="3"/>
      <c r="I189" s="3"/>
      <c r="J189" s="3"/>
      <c r="L189" s="282"/>
      <c r="M189" s="3"/>
      <c r="N189" s="282"/>
    </row>
    <row r="190" spans="1:14" s="1" customFormat="1">
      <c r="A190" s="3"/>
      <c r="C190" s="3"/>
      <c r="D190" s="3"/>
      <c r="E190" s="677"/>
      <c r="F190" s="3"/>
      <c r="G190" s="3"/>
      <c r="I190" s="3"/>
      <c r="J190" s="3"/>
      <c r="L190" s="282"/>
      <c r="M190" s="3"/>
      <c r="N190" s="282"/>
    </row>
    <row r="191" spans="1:14" s="1" customFormat="1">
      <c r="A191" s="3"/>
      <c r="C191" s="3"/>
      <c r="D191" s="3"/>
      <c r="E191" s="677"/>
      <c r="F191" s="3"/>
      <c r="G191" s="3"/>
      <c r="I191" s="3"/>
      <c r="J191" s="3"/>
      <c r="L191" s="282"/>
      <c r="M191" s="3"/>
      <c r="N191" s="282"/>
    </row>
    <row r="192" spans="1:14" s="1" customFormat="1">
      <c r="A192" s="3"/>
      <c r="C192" s="3"/>
      <c r="D192" s="3"/>
      <c r="E192" s="677"/>
      <c r="F192" s="3"/>
      <c r="G192" s="3"/>
      <c r="I192" s="3"/>
      <c r="J192" s="3"/>
      <c r="L192" s="282"/>
      <c r="M192" s="3"/>
      <c r="N192" s="282"/>
    </row>
    <row r="193" spans="1:14" s="1" customFormat="1">
      <c r="A193" s="3"/>
      <c r="C193" s="3"/>
      <c r="D193" s="3"/>
      <c r="E193" s="677"/>
      <c r="F193" s="3"/>
      <c r="G193" s="3"/>
      <c r="I193" s="3"/>
      <c r="J193" s="3"/>
      <c r="L193" s="282"/>
      <c r="M193" s="3"/>
      <c r="N193" s="282"/>
    </row>
    <row r="194" spans="1:14" s="1" customFormat="1">
      <c r="A194" s="3"/>
      <c r="C194" s="3"/>
      <c r="D194" s="3"/>
      <c r="E194" s="677"/>
      <c r="F194" s="3"/>
      <c r="G194" s="3"/>
      <c r="I194" s="3"/>
      <c r="J194" s="3"/>
      <c r="L194" s="282"/>
      <c r="M194" s="3"/>
      <c r="N194" s="282"/>
    </row>
    <row r="195" spans="1:14" s="1" customFormat="1">
      <c r="A195" s="3"/>
      <c r="C195" s="3"/>
      <c r="D195" s="3"/>
      <c r="E195" s="677"/>
      <c r="F195" s="3"/>
      <c r="G195" s="3"/>
      <c r="I195" s="3"/>
      <c r="J195" s="3"/>
      <c r="L195" s="282"/>
      <c r="M195" s="3"/>
      <c r="N195" s="282"/>
    </row>
    <row r="196" spans="1:14" s="1" customFormat="1">
      <c r="A196" s="3"/>
      <c r="C196" s="3"/>
      <c r="D196" s="3"/>
      <c r="E196" s="677"/>
      <c r="F196" s="3"/>
      <c r="G196" s="3"/>
      <c r="I196" s="3"/>
      <c r="J196" s="3"/>
      <c r="L196" s="282"/>
      <c r="M196" s="3"/>
      <c r="N196" s="282"/>
    </row>
    <row r="197" spans="1:14" s="1" customFormat="1">
      <c r="A197" s="3"/>
      <c r="C197" s="3"/>
      <c r="D197" s="3"/>
      <c r="E197" s="677"/>
      <c r="F197" s="3"/>
      <c r="G197" s="3"/>
      <c r="I197" s="3"/>
      <c r="J197" s="3"/>
      <c r="L197" s="282"/>
      <c r="M197" s="3"/>
      <c r="N197" s="282"/>
    </row>
    <row r="198" spans="1:14" s="1" customFormat="1">
      <c r="A198" s="3"/>
      <c r="C198" s="3"/>
      <c r="D198" s="3"/>
      <c r="E198" s="677"/>
      <c r="F198" s="3"/>
      <c r="G198" s="3"/>
      <c r="I198" s="3"/>
      <c r="J198" s="3"/>
      <c r="L198" s="282"/>
      <c r="M198" s="3"/>
      <c r="N198" s="282"/>
    </row>
    <row r="199" spans="1:14" s="1" customFormat="1">
      <c r="A199" s="3"/>
      <c r="C199" s="3"/>
      <c r="D199" s="3"/>
      <c r="E199" s="677"/>
      <c r="F199" s="3"/>
      <c r="G199" s="3"/>
      <c r="I199" s="3"/>
      <c r="J199" s="3"/>
      <c r="L199" s="282"/>
      <c r="M199" s="3"/>
      <c r="N199" s="282"/>
    </row>
  </sheetData>
  <autoFilter ref="B2:P147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57">
        <v>2022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60"/>
      <c r="C1" s="760"/>
      <c r="D1" s="760"/>
      <c r="E1" s="760"/>
      <c r="F1" s="760"/>
      <c r="G1" s="760"/>
      <c r="H1" s="760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63" t="s">
        <v>322</v>
      </c>
      <c r="B1" s="764"/>
      <c r="C1" s="764"/>
      <c r="D1" s="764"/>
      <c r="E1" s="765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66" t="s">
        <v>398</v>
      </c>
      <c r="E2" s="766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67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68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68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68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68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68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68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68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68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68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68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68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68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68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68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68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68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68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68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68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69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68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68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68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69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67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68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68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68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68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68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68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68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68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68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68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68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68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69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67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68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68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68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68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68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68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68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68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68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68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69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67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68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68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68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68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68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68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68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68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69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68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68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68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68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68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68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68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68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68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68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68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68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68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68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68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68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69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68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68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68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68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68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68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68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68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68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68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68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68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69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70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71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71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71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71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71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71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71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71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71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72" t="s">
        <v>495</v>
      </c>
      <c r="B105" s="773"/>
      <c r="C105" s="774"/>
      <c r="D105" s="761">
        <f>SUM(D4:D104)</f>
        <v>1832000</v>
      </c>
      <c r="E105" s="762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19</vt:lpstr>
      <vt:lpstr>20</vt:lpstr>
      <vt:lpstr>21</vt:lpstr>
      <vt:lpstr>22</vt:lpstr>
      <vt:lpstr>23</vt:lpstr>
      <vt:lpstr>24</vt:lpstr>
      <vt:lpstr>25</vt:lpstr>
      <vt:lpstr>LIB_26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2026-03-15T14:06:29Z</dcterms:modified>
  <cp:version>1000.0100.01</cp:version>
</cp:coreProperties>
</file>